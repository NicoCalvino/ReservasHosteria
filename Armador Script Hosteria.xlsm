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D8EB217A-3FCB-4104-875E-FCBA233D89FF}" xr6:coauthVersionLast="47" xr6:coauthVersionMax="47" xr10:uidLastSave="{00000000-0000-0000-0000-000000000000}"/>
  <bookViews>
    <workbookView xWindow="-120" yWindow="-120" windowWidth="29040" windowHeight="15720" activeTab="1" xr2:uid="{D43F40F4-4B87-4D60-A95E-90FD2F2E704D}"/>
  </bookViews>
  <sheets>
    <sheet name="Sheet1" sheetId="1" r:id="rId1"/>
    <sheet name="Script" sheetId="2" r:id="rId2"/>
    <sheet name="Pasos Muestra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5" i="5" l="1"/>
  <c r="B226" i="5"/>
  <c r="B225" i="5"/>
  <c r="C218" i="5"/>
  <c r="C219" i="5" s="1"/>
  <c r="C194" i="5"/>
  <c r="C195" i="5" s="1"/>
  <c r="C174" i="5"/>
  <c r="C175" i="5" s="1"/>
  <c r="C153" i="5"/>
  <c r="C154" i="5" s="1"/>
  <c r="C142" i="5"/>
  <c r="C143" i="5" s="1"/>
  <c r="D76" i="5"/>
  <c r="D77" i="5" s="1"/>
  <c r="D62" i="5"/>
  <c r="D63" i="5" s="1"/>
  <c r="D42" i="5"/>
  <c r="D43" i="5" s="1"/>
  <c r="D7" i="5"/>
  <c r="D8" i="5" s="1"/>
</calcChain>
</file>

<file path=xl/sharedStrings.xml><?xml version="1.0" encoding="utf-8"?>
<sst xmlns="http://schemas.openxmlformats.org/spreadsheetml/2006/main" count="933" uniqueCount="405">
  <si>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</si>
  <si>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</si>
  <si>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</si>
  <si>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</si>
  <si>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</si>
  <si>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</si>
  <si>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</si>
  <si>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</si>
  <si>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</si>
  <si>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</si>
  <si>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</si>
  <si>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</si>
  <si>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</si>
  <si>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</si>
  <si>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</si>
  <si>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</si>
  <si>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</si>
  <si>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</si>
  <si>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</si>
  <si>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</si>
  <si>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</si>
  <si>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</si>
  <si>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</si>
  <si>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</si>
  <si>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</si>
  <si>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</si>
  <si>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</si>
  <si>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</si>
  <si>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</si>
  <si>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</si>
  <si>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</si>
  <si>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</si>
  <si>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</si>
  <si>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</si>
  <si>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</si>
  <si>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</si>
  <si>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</si>
  <si>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</si>
  <si>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</si>
  <si>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</si>
  <si>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</si>
  <si>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</si>
  <si>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</si>
  <si>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</si>
  <si>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</si>
  <si>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</si>
  <si>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</si>
  <si>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</si>
  <si>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</si>
  <si>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</si>
  <si>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</si>
  <si>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</si>
  <si>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</si>
  <si>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</si>
  <si>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</si>
  <si>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</si>
  <si>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</si>
  <si>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</si>
  <si>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</si>
  <si>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</si>
  <si>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</si>
  <si>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</si>
  <si>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</si>
  <si>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</si>
  <si>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</si>
  <si>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</si>
  <si>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</si>
  <si>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</si>
  <si>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</si>
  <si>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</si>
  <si>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</si>
  <si>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</si>
  <si>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</si>
  <si>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</si>
  <si>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</si>
  <si>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</si>
  <si>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</si>
  <si>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</si>
  <si>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Habitaciones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</si>
  <si>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</si>
  <si>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</si>
  <si>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</si>
  <si>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</si>
  <si>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</si>
  <si>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</si>
  <si>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</si>
  <si>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</si>
  <si>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</si>
  <si>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</si>
  <si>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</si>
  <si>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</si>
  <si>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</si>
  <si>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</si>
  <si>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</si>
  <si>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</si>
  <si>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</si>
  <si>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</si>
  <si>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</si>
  <si>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</si>
  <si>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</si>
  <si>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</si>
  <si>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</si>
  <si>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</si>
  <si>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FOREIGN KEY(room_type_id) REFERENCES room_types(id),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</si>
  <si>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</si>
  <si>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</si>
  <si>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</si>
  <si>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</si>
  <si>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</si>
  <si>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</si>
  <si>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</si>
  <si>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</si>
  <si>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</si>
  <si>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</si>
  <si>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</si>
  <si>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</si>
  <si>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</si>
  <si>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</si>
  <si>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</si>
  <si>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</si>
  <si>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</si>
  <si>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</si>
  <si>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</si>
  <si>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</si>
  <si>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</si>
  <si>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</si>
  <si>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</si>
  <si>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</si>
  <si>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</si>
  <si>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</si>
  <si>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</si>
  <si>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</si>
  <si>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</si>
  <si>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</si>
  <si>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</si>
  <si>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</si>
  <si>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</si>
  <si>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</si>
  <si>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</si>
  <si>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</si>
  <si>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</si>
  <si>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</si>
  <si>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</si>
  <si>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</si>
  <si>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</si>
  <si>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</si>
  <si>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</si>
  <si>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</si>
  <si>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</si>
  <si>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</si>
  <si>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</si>
  <si>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</si>
  <si>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</si>
  <si>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</si>
  <si>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</si>
  <si>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</si>
  <si>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</si>
  <si>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</si>
  <si>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</si>
  <si>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</si>
  <si>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</si>
  <si>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</si>
  <si>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</si>
  <si>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</si>
  <si>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</si>
  <si>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</si>
  <si>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</si>
  <si>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</si>
  <si>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</si>
  <si>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</si>
  <si>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</si>
  <si>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</si>
  <si>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</si>
  <si>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</si>
  <si>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</si>
  <si>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</si>
  <si>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</si>
  <si>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</si>
  <si>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</si>
  <si>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</si>
  <si>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</si>
  <si>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</si>
  <si>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</si>
  <si>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</si>
  <si>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</si>
  <si>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</si>
  <si>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</si>
  <si>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</si>
  <si>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</si>
  <si>
    <t>room_name</t>
  </si>
  <si>
    <t>Triple</t>
  </si>
  <si>
    <t>Doble Vista Mar</t>
  </si>
  <si>
    <t>Doble Vista Jardin</t>
  </si>
  <si>
    <t>Hab 31</t>
  </si>
  <si>
    <t>Hab 32</t>
  </si>
  <si>
    <t>room_name VARCHAR(100) NOT NULL,</t>
  </si>
  <si>
    <t>(DEFAULT,"Triple","trpvj","Triple Vista Jardin",3,175000,"triple-1.jpg"),</t>
  </si>
  <si>
    <t>(DEFAULT,"Doble Vista Mar","dblvm","Doble Vista al Mar",2,150000,"room_1h.jpg"),</t>
  </si>
  <si>
    <t>(DEFAULT,"Doble Vista Jardin","dblvj","Doble Vista al Jardin",2,150000,"room_5h.jpg"),</t>
  </si>
  <si>
    <t>(DEFAULT,"Hab 32","suite","Dpto 2 hab vista al mar con Cocina e Hidromasaje",4,250000,"cuad-1.jpg")</t>
  </si>
  <si>
    <t>Deleted</t>
  </si>
  <si>
    <t>(DEFAULT,"Confirmed"),</t>
  </si>
  <si>
    <t>(DEFAULT,"Deleted")</t>
  </si>
  <si>
    <t>temp_id INT UNSIGNED,</t>
  </si>
  <si>
    <t>Buscar Disponibilidad</t>
  </si>
  <si>
    <t>Entrada</t>
  </si>
  <si>
    <t>Salida</t>
  </si>
  <si>
    <t>Huespedes</t>
  </si>
  <si>
    <t>Abajo como se muestran las opciones de tipos de habitaciones disponibles para la fecha indicada</t>
  </si>
  <si>
    <t>Cada tipo de habitacion tiene su precio</t>
  </si>
  <si>
    <t>Si pasas el mouse por arriba de Foto aparece una foto de la habitacion</t>
  </si>
  <si>
    <t>Si haces click en foto se abre en una ventana nueva la foto de la ventana</t>
  </si>
  <si>
    <t>Mostrar que si no indicas habitaciones, no te deja avanzar y te tira el error "Se eligieron menos habitaciones de las solicitadas"</t>
  </si>
  <si>
    <t>Mostrar que si elegis menos habitaciones, no te deja avanzar y te tira el error "Se eligieron menos habitaciones de las solicitadas"</t>
  </si>
  <si>
    <t>Mostrar que si elegis mas habitaciones, no te deja avanzar y te tira el error "Se eligieron mas habitaciones de las solicitadas"</t>
  </si>
  <si>
    <t>Mostrar que solo te deja elegir como maximo la cantidad de habitaciones disponibles que hay para ese tipo de habitacion</t>
  </si>
  <si>
    <t>Mostrar que si cambias el codigo html y queres avanzar te dice que no hay ese numero de habitaciones disponibles</t>
  </si>
  <si>
    <t>Arriba aparecen los criterios de busqueda tanto para ver los detalles de la busqueda como para modificar en caso de querer afinarla</t>
  </si>
  <si>
    <t>RESULTADOS BUSQUEDA</t>
  </si>
  <si>
    <t>INFORMACION HABITACIONES</t>
  </si>
  <si>
    <t>En cada habitacion se debe indicar cuantos mayores y menores van a ir</t>
  </si>
  <si>
    <t>Mostrar que si dejas la habitacion sin gente te indica que no puede quedar vacia</t>
  </si>
  <si>
    <t>Mostrar que si pones gente en todas las habitaciones pero es menor a la cantidad indicada inicialmente, te da un error</t>
  </si>
  <si>
    <t>Mostrar que si no completas la informacion personal te tira error por cada campo incompleto</t>
  </si>
  <si>
    <t>Mostrar que si los mails no coinciden tira error</t>
  </si>
  <si>
    <t>Mostrar que si pones mas gente de la que entra en la habitacion te da error de capacidad</t>
  </si>
  <si>
    <t>RESERVA REGISTRADA</t>
  </si>
  <si>
    <t>Codigo de Reserva</t>
  </si>
  <si>
    <t>Total de la estadia</t>
  </si>
  <si>
    <t>Datos de Transferencia</t>
  </si>
  <si>
    <t>NUEVA BUSQUEDA</t>
  </si>
  <si>
    <t>Mostrar como ya no aparecen las habiataciones que para esa misma fecha reservo otra persona</t>
  </si>
  <si>
    <t>Mostrar el "hacer click aquí" para informar el pago</t>
  </si>
  <si>
    <t>CARGAR PAGO</t>
  </si>
  <si>
    <t>Se pide el codigo de reserva de la pagina de confirmacion</t>
  </si>
  <si>
    <t>Completar tambien el mail con el que se hizo la reserva</t>
  </si>
  <si>
    <t>Mostrar el mensaje que indica que en caso de no recordar los datos, hay que comunicarse con la hosteria</t>
  </si>
  <si>
    <t>Mostrar como si pones informacion que no corresponde en los campos (aunque la informacion sea real) no te deja avanzar</t>
  </si>
  <si>
    <t>Mensaje de confirmacion</t>
  </si>
  <si>
    <t>Mostrar la opcion abajo que dice "Ingreso Admin"</t>
  </si>
  <si>
    <t>INGRESO ADMINISTRACION</t>
  </si>
  <si>
    <t>Completar usuario y contraseña</t>
  </si>
  <si>
    <t>Mostrar que si no pones "No cerrar Sesion" y cerras el explorador, hay que volver a iniciar</t>
  </si>
  <si>
    <t>Mostrar que si pones "No cerrar Sesion" y cerras el explorador, la sesion queda iniciada</t>
  </si>
  <si>
    <t>Hacer click en Menu Administracion</t>
  </si>
  <si>
    <t>MENU ADMINISTRACION</t>
  </si>
  <si>
    <t>Hablar de las diferentes opciones que tiene el Menu</t>
  </si>
  <si>
    <t>Mostrar que se puede acceder a las reservas pendientes de confirmar haciendo click en el mensaje o en la opcion del menu</t>
  </si>
  <si>
    <t>CONFIRMAR RESERVAS</t>
  </si>
  <si>
    <t>Hablar sobre como se muestran las reservas pendientes de confirmar y la informacion de las mismas</t>
  </si>
  <si>
    <t>Mencionar que si hubiesen mas reservas pendientes, aparecerian abajo</t>
  </si>
  <si>
    <t>INFORMACION PARA CONFIRMAR RESERVAS</t>
  </si>
  <si>
    <t>Mostrar como aparece de nuevo toda la informacion de la reserva arriba</t>
  </si>
  <si>
    <t>En el medio aparece el ticket subido por el huesped</t>
  </si>
  <si>
    <t>Explicar que la forma en la cual se determina como se va a mostrar el comprobante dependiendo del formato del archivo subido</t>
  </si>
  <si>
    <t>Mostrar como abajo aparecen las habitaciones elegidas por el huesped y es necesario asignar a cada una la habitacion</t>
  </si>
  <si>
    <t>Mencionar que entre las opciones aparece, para cada tipo de habitacion, las disponibles para elegir.</t>
  </si>
  <si>
    <t>Mostrar que si se deja alguna habitacion sin elegir da un error</t>
  </si>
  <si>
    <t>Mostrar que si se elije la misma opcion para dos habitaciones diferentes da error</t>
  </si>
  <si>
    <t>Mostrar la opcion de eliminar la reserva abajo</t>
  </si>
  <si>
    <t>Hacer click en Confirmar Reserva</t>
  </si>
  <si>
    <t>Mostrar como ya no quedan reservas para Confirmar</t>
  </si>
  <si>
    <t>Volver al Menu</t>
  </si>
  <si>
    <t>BUSCAR RESERVAS</t>
  </si>
  <si>
    <t>Mostrar todos los campos para poner los criterios de busqueda</t>
  </si>
  <si>
    <t>Hacer la busqueda sin completar nada y mostrar los resultados</t>
  </si>
  <si>
    <t>Hacer la busqueda poniendo solo un 1 en el codigo y mostrar los resultados</t>
  </si>
  <si>
    <t>VER DISPONIBILIDAD</t>
  </si>
  <si>
    <t>Mostrar que si queres buscar desde una fecha pasada no te deja</t>
  </si>
  <si>
    <t>Mostrar que si queres buscar poniendo el check out antes de check in te da error</t>
  </si>
  <si>
    <t>Mostrar que si no pones fechas te da error</t>
  </si>
  <si>
    <t>Explicar el mensaje que aparece donde indica que aun hay reservas pendientes de confirmar y por eso aparecen 4 Disponibles pero se listan 6 abajo</t>
  </si>
  <si>
    <t>Explicar como se muestra la informacion.</t>
  </si>
  <si>
    <t>Tipo de Habitacion</t>
  </si>
  <si>
    <t>Precio</t>
  </si>
  <si>
    <t>Cant Disponible</t>
  </si>
  <si>
    <t>Nros de Habitacion</t>
  </si>
  <si>
    <t>Mostrar como abajo aparece un cuadrito para hacer una busqueda para reservar para esa fecha</t>
  </si>
  <si>
    <t>Buscar 8 huespedes en 3 habitaciones</t>
  </si>
  <si>
    <t>Hacer click en buscar y mostrar como se abre la busqueda de reservas original en una nueva ventana</t>
  </si>
  <si>
    <t>Hacer Click en Continuar</t>
  </si>
  <si>
    <t>Indicar que se le pasan los codigos a la persona que solicito la reserva</t>
  </si>
  <si>
    <t>Volver al menu</t>
  </si>
  <si>
    <t>Volver a VER DISPONIBILIDAD y hacer la misma busqueda de fechas</t>
  </si>
  <si>
    <t>Mostrar como ha cambiado la informacion respecto a la busqueda anterior</t>
  </si>
  <si>
    <t>Mostrar como aparecen las fechas de Check In y Check Out arriba</t>
  </si>
  <si>
    <t>RESERVAR HABITACION</t>
  </si>
  <si>
    <t>Explicar que esta seccion sirve para ver que habitaciones estan disponibles en un rango de fechas</t>
  </si>
  <si>
    <t>Explicar que esta seccion sirve para reservar una habitacion sin necesidad de hacer reserva. Es mas para casos de conocidos no para huespedes normales</t>
  </si>
  <si>
    <t>Mostrar que en este caso si te deja poner fecha del pasado, ya que son casos especiales</t>
  </si>
  <si>
    <t>Mostrar como si queres reservar sin completar la informacion, te da error</t>
  </si>
  <si>
    <t>Explicar que en el caso de Adultos y Menores no importa que los dos esten completos, mientras que uno tenga informacion alcanza</t>
  </si>
  <si>
    <t>Completar la informacion con Diego Frutos</t>
  </si>
  <si>
    <t>Mostrar como las opciones que se muestran para las habitaciones son las que estan disponibles en ese rango de fechas</t>
  </si>
  <si>
    <t>Poner 2 adultos y 2 Menores</t>
  </si>
  <si>
    <t>Hacer Click en Reservar</t>
  </si>
  <si>
    <t>Hacer la busqueda poniendo solo FRU en el apellido y mostrar los resultados</t>
  </si>
  <si>
    <t>Hacer la busqueda poniendo 1 y apellido Fru para mostrar que no aparece nada</t>
  </si>
  <si>
    <t>Hacer la busqueda poniendo 4 huespedes y mostrar los resultados</t>
  </si>
  <si>
    <t>Hacer la busqueda poniendo 2 habitaciones y mostrar los resultados</t>
  </si>
  <si>
    <t>Mostrar el boton de reset al final en caso que se quiera reiniciar la busqueda</t>
  </si>
  <si>
    <t>Explicar la informacion que se muestra</t>
  </si>
  <si>
    <t>Explciar los estados entre parentesis</t>
  </si>
  <si>
    <t>Explicar la diferencia de los botones CONFIRMAR y MODIFICAR</t>
  </si>
  <si>
    <t>Mostrar como en el caso de la reserva hecha por Administracion no hay pago</t>
  </si>
  <si>
    <t>Eliminar una reserva borrador</t>
  </si>
  <si>
    <t>Mostrar que sigue apareciendo en la busqueda como (DELETED)</t>
  </si>
  <si>
    <t>Mostrar como en el caso de la reserva hecha por Administracion aparecen con monto 0 y pone telefono y mail de la hosteria como standard</t>
  </si>
  <si>
    <t>Mostrar como se puede modificar la habitacion asignada</t>
  </si>
  <si>
    <t>Explicar que esta seccion sirve para ver una tabla con los ocupantes de cada habitacion en un rango de fechas</t>
  </si>
  <si>
    <t>Explicar que este reporte se va a ver mejor en computadora</t>
  </si>
  <si>
    <t>HUESPEDES DEL DIA</t>
  </si>
  <si>
    <t>Explicar que esta seccion sirve para ver una lista de los huespedes de un dia en particular por cada habitacion</t>
  </si>
  <si>
    <t>Explciar que por defecto pone la fecha del dia de hoy pero se puede ir tanto para adelante como para atrás</t>
  </si>
  <si>
    <t>EDITAR HABITACIONES</t>
  </si>
  <si>
    <t>Explicar que esta seccion sirve para editar el precio de las habitaciones y su disponibilidad</t>
  </si>
  <si>
    <t>Al marcar una habitacion como no disponible, automaticamente se deja de ofrecer en las reservas</t>
  </si>
  <si>
    <t>Improtante hacer click en confirmar para guardar cambios</t>
  </si>
  <si>
    <t>Al hacer click en confirmar se guardan los cambios y vuelve a cargar la informacion</t>
  </si>
  <si>
    <t>CERRAR SESION</t>
  </si>
  <si>
    <t>Hacer click en cerrar Sesion y volver a entrar como superAdmin</t>
  </si>
  <si>
    <t>superSolar</t>
  </si>
  <si>
    <t>Mostrar Como aparece la opcion EDITAR INFO BANCO</t>
  </si>
  <si>
    <t>Mostrar que desde ahí se puede modificar la informacion del banco que despues aparece como mensaje al momento de hacer reservas</t>
  </si>
  <si>
    <t>Mostrar Como si no completas la info te da errores</t>
  </si>
  <si>
    <t>Mostrar como si pones un usuario incorrecto o contraseña incorrecta te da error</t>
  </si>
  <si>
    <t>Mencionar que lo que se muestra es que dice Informacion Incorrecta, sin mencionar que el usuario o la contraseña estan mal</t>
  </si>
  <si>
    <t>TERMINAR MENCIONANDO COMO ESO TODAVIA PUEDE TENER MUCHOS ERRORES YA QUE HAY ESCENARIOS QUE NO PENSE O PARTES QUE FALTA REVISAR</t>
  </si>
  <si>
    <t>QUEDA PENDIENTE HACER EL ESTILO PARA QUE SE VEA COMO COMPUTADORA</t>
  </si>
  <si>
    <t>hosteriaSolar</t>
  </si>
  <si>
    <t>TENGO QUE REVISAR TODO EL CODIGO PARA VER QUE PUEDE HABER QUEDADO PENDIENTE SIN QUE ME ACUERDE</t>
  </si>
  <si>
    <t>DEFINIR EL TIEMPO PARA ELIMINAR RESERVAS SIN PAGO</t>
  </si>
  <si>
    <t>Mostrar como se puede reactivar una busqueda cancelada</t>
  </si>
  <si>
    <t>Cortar Video para reajustar la ventana</t>
  </si>
  <si>
    <t>Mostrar que en caso que existan mas habitaciones disponibles, solo te deja elegir como maximo la cantiadad de habitaciones indicadas en la busqueda</t>
  </si>
  <si>
    <t>Mostrar que si queres poner mas habitaciones con el teclado, te obliga a poner un numero que no supere el maximo</t>
  </si>
  <si>
    <t>Completar 1 Mayor 0 Menores, 0 Mayores 1 Menor, 2 Mayores 0 menores</t>
  </si>
  <si>
    <t>Completar con la informacion de Humberto Velez</t>
  </si>
  <si>
    <t>Elegir 2 triples y una doble vista mar</t>
  </si>
  <si>
    <t>Mostrar que si no completas los campos te da error</t>
  </si>
  <si>
    <t>Mostrar que no podes poner mas habitaciones que huespedes</t>
  </si>
  <si>
    <t>Mostrar que la fecha de salida no puede ser anterior a la de entrada</t>
  </si>
  <si>
    <t>Mostrar que la fecha de entrada no puede ser en el pasado</t>
  </si>
  <si>
    <t>PAGINA DE RESERVAS</t>
  </si>
  <si>
    <t>Mostrar que siendo 5 noches, el monto de la seña es del 30%</t>
  </si>
  <si>
    <t>Elegir 2 dobles. Una Vista Mar y otra Vista Jardin</t>
  </si>
  <si>
    <t>Indicar 2 mayores en cada habitacion</t>
  </si>
  <si>
    <t>Completar con la informacion de Mario Castañeda</t>
  </si>
  <si>
    <t>Cargar el archivo de pago PDF</t>
  </si>
  <si>
    <t>Mensaje de Cancelacion</t>
  </si>
  <si>
    <t xml:space="preserve">Mostrar como no aparecen las triples por estar tomados en la primera reserva pero si aparecen las dobles de la seunda porque no se pisa </t>
  </si>
  <si>
    <t>Elegir una doble vista Mar, Una Doble vista Jardin, una 31 y una 32</t>
  </si>
  <si>
    <t>Indicar 2 Mayores 0 Menores, 0 Mayores 2 Menores, 1 Mayor y 1 Menor y 2 Mayores</t>
  </si>
  <si>
    <t>Completar con la informacion de Nicolas Calviño</t>
  </si>
  <si>
    <t>Mostrar que siendo 2 noches, el monto de la seña es de una Noche</t>
  </si>
  <si>
    <t>Cargar el archivo de pago JPG</t>
  </si>
  <si>
    <t>Hacer Click en "CONFIRMAR" la de Mario Castañeda</t>
  </si>
  <si>
    <t>Asignar las Habitaciones 12 y 17</t>
  </si>
  <si>
    <t>Mostrar como se muestra diferente al anterior siendo JPG</t>
  </si>
  <si>
    <t>Mostrar como no aparecen ni la 31 ni la 32 porque se eligieron en la reserva anterior.</t>
  </si>
  <si>
    <t>Elegir una doble vista Mar</t>
  </si>
  <si>
    <t>Indicar 1 Mayores</t>
  </si>
  <si>
    <t>Completar con la informacion de Walter Pietrobelli</t>
  </si>
  <si>
    <t>Mostrar el mensaje arriba que dice "HAY 3 RESERVAS SIN CONFIRMAR"</t>
  </si>
  <si>
    <t>Hay 3 y no 4 porque de las 4 que se cargaron, solo 3 informaron el pago</t>
  </si>
  <si>
    <t>Mostrar las opciones para Doble Vista Mar</t>
  </si>
  <si>
    <t>Mostrar que las opciones que da para vista Mar son las mismas que la anterior porque aun no se han confirmado ninguna de las dos</t>
  </si>
  <si>
    <t>Hacer Click en "CONFIRMAR" la de Pietrobelli</t>
  </si>
  <si>
    <t>Volver a las reservas para confirmar y entrar en la de Nicolas Calviño</t>
  </si>
  <si>
    <t>Asignar las Habitaciones 14 y 17</t>
  </si>
  <si>
    <t>Mostrar que para 31 y 32 solo aparece una opcion</t>
  </si>
  <si>
    <t>Mostrar que ahora las opciones de Vista Mar ya no ofrecen la 14 porque se asigno a la anterior</t>
  </si>
  <si>
    <t>Hacer Busqueda</t>
  </si>
  <si>
    <t>Mostrar que como todas las reservas que cargamos, Lo unico que hay disponible para todo el rango que elegimos es doble vista mar</t>
  </si>
  <si>
    <t>Mostrar que para este rango de fecha, ya por ejemplo aparecen las triples porque sus reservas se acabaron el 14/11</t>
  </si>
  <si>
    <t>Indicar 2 mayores 1 menor, 1 mayores 2 menor, 1 Mayor 1 Menor</t>
  </si>
  <si>
    <t>Completar el proceso de la reserva para Ricardo Perez</t>
  </si>
  <si>
    <t>Mostrar como no permite superar la capacidad de la habitacion</t>
  </si>
  <si>
    <t>Cambiar a solo 1 Mayor</t>
  </si>
  <si>
    <t>Mostrar que se pueden CONFIRMAR tanto las que tienen pago subido como las que no</t>
  </si>
  <si>
    <t>Mostrar como se puede en caso de que se quiera modificar alguna reserva que esta Confirmada</t>
  </si>
  <si>
    <t xml:space="preserve">Mostrar que pasa si se quiere acceder al link de la informaicon de la reserva </t>
  </si>
  <si>
    <t>VER OCUPACION</t>
  </si>
  <si>
    <t>Marcar la 16 como NO DISPONIBLE</t>
  </si>
  <si>
    <t>Ir a Buscar Reservas y mostrar que si queremos modificar una, no va a ofrecer nunca la 16</t>
  </si>
  <si>
    <t>Confirmar la ultima que queda en Pending. Asignar la 24</t>
  </si>
  <si>
    <t>Volver al inicio y hacer click en informar un pago</t>
  </si>
  <si>
    <t>ESTADO DE RESERVAS</t>
  </si>
  <si>
    <t>Volver a las reservas</t>
  </si>
  <si>
    <t>Buscar el estado de la confirmada</t>
  </si>
  <si>
    <t>Buscar el estado de la pendiente</t>
  </si>
  <si>
    <t>Buscar el estado de la borrador</t>
  </si>
  <si>
    <t>x</t>
  </si>
  <si>
    <t>Dpto. para 4 personas</t>
  </si>
  <si>
    <t>(DEFAULT,"Hab 31","hab4","Dpto. para 4 personas",4,125000,"cuad-2.jpg"),</t>
  </si>
  <si>
    <t>coments</t>
  </si>
  <si>
    <t>VARCHAR(300)</t>
  </si>
  <si>
    <t>coments VARCHAR(300),</t>
  </si>
  <si>
    <t>comments</t>
  </si>
  <si>
    <t>date</t>
  </si>
  <si>
    <t>create table reservas_hosteria.comments(</t>
  </si>
  <si>
    <t>date DATE NOT NULL,</t>
  </si>
  <si>
    <t>FOREIGN KEY(booking_id) REFERENCES bookings(id)</t>
  </si>
  <si>
    <t>comment</t>
  </si>
  <si>
    <t>comment VARCHAR(300) NOT NULL,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</si>
</sst>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/>
    <xf numFmtId="16" fontId="0" fillId="0" borderId="0" xfId="0" applyNumberFormat="1"/>
    <xf numFmtId="0" fontId="0" fillId="3" borderId="0" xfId="0" applyFill="1"/>
    <xf numFmtId="0" fontId="0" fillId="4" borderId="0" xfId="0" applyFill="1"/>
    <xf numFmtId="14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18"/>
  <sheetViews>
    <sheetView workbookViewId="0">
      <pane ySplit="2" topLeftCell="A39" activePane="bottomLeft" state="frozen"/>
      <selection pane="bottomLeft" activeCell="C66" sqref="C66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184</v>
      </c>
    </row>
    <row r="7" spans="1:11" x14ac:dyDescent="0.25">
      <c r="A7" t="s">
        <v>2</v>
      </c>
      <c r="B7" t="s">
        <v>171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170</v>
      </c>
    </row>
    <row r="10" spans="1:11" x14ac:dyDescent="0.25">
      <c r="A10" t="s">
        <v>2</v>
      </c>
      <c r="B10" t="s">
        <v>172</v>
      </c>
      <c r="C10" t="s">
        <v>183</v>
      </c>
      <c r="D10" t="s">
        <v>7</v>
      </c>
    </row>
    <row r="11" spans="1:11" x14ac:dyDescent="0.25">
      <c r="A11" t="s">
        <v>2</v>
      </c>
      <c r="B11" t="s">
        <v>173</v>
      </c>
      <c r="C11" t="s">
        <v>9</v>
      </c>
      <c r="D11" t="s">
        <v>7</v>
      </c>
    </row>
    <row r="12" spans="1:11" x14ac:dyDescent="0.25">
      <c r="A12" t="s">
        <v>2</v>
      </c>
      <c r="B12" t="s">
        <v>174</v>
      </c>
      <c r="C12" t="s">
        <v>4</v>
      </c>
      <c r="D12" t="s">
        <v>5</v>
      </c>
      <c r="E12" t="s">
        <v>7</v>
      </c>
      <c r="G12" t="s">
        <v>184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91</v>
      </c>
    </row>
    <row r="15" spans="1:11" x14ac:dyDescent="0.25">
      <c r="A15" t="s">
        <v>2</v>
      </c>
      <c r="B15" t="s">
        <v>189</v>
      </c>
      <c r="C15" t="s">
        <v>9</v>
      </c>
      <c r="D15" t="s">
        <v>7</v>
      </c>
    </row>
    <row r="16" spans="1:11" x14ac:dyDescent="0.25">
      <c r="A16" t="s">
        <v>2</v>
      </c>
      <c r="B16" t="s">
        <v>90</v>
      </c>
      <c r="C16" t="s">
        <v>32</v>
      </c>
      <c r="D16" t="s">
        <v>7</v>
      </c>
    </row>
    <row r="17" spans="1:7" x14ac:dyDescent="0.25">
      <c r="A17" t="s">
        <v>2</v>
      </c>
      <c r="B17" t="s">
        <v>34</v>
      </c>
      <c r="C17" t="s">
        <v>9</v>
      </c>
      <c r="D17" t="s">
        <v>7</v>
      </c>
    </row>
    <row r="18" spans="1:7" x14ac:dyDescent="0.25">
      <c r="A18" t="s">
        <v>2</v>
      </c>
      <c r="B18" t="s">
        <v>39</v>
      </c>
      <c r="C18" t="s">
        <v>4</v>
      </c>
      <c r="D18" t="s">
        <v>5</v>
      </c>
      <c r="E18" t="s">
        <v>7</v>
      </c>
    </row>
    <row r="19" spans="1:7" x14ac:dyDescent="0.25">
      <c r="A19" t="s">
        <v>2</v>
      </c>
      <c r="B19" t="s">
        <v>35</v>
      </c>
      <c r="C19" t="s">
        <v>11</v>
      </c>
      <c r="D19" t="s">
        <v>5</v>
      </c>
      <c r="E19" t="s">
        <v>7</v>
      </c>
    </row>
    <row r="20" spans="1:7" x14ac:dyDescent="0.25">
      <c r="A20" t="s">
        <v>2</v>
      </c>
      <c r="B20" t="s">
        <v>146</v>
      </c>
      <c r="C20" t="s">
        <v>9</v>
      </c>
      <c r="D20" t="s">
        <v>7</v>
      </c>
    </row>
    <row r="21" spans="1:7" x14ac:dyDescent="0.25">
      <c r="A21" t="s">
        <v>18</v>
      </c>
    </row>
    <row r="22" spans="1:7" x14ac:dyDescent="0.25">
      <c r="A22" t="s">
        <v>0</v>
      </c>
      <c r="B22" t="s">
        <v>36</v>
      </c>
    </row>
    <row r="23" spans="1:7" x14ac:dyDescent="0.25">
      <c r="A23" t="s">
        <v>2</v>
      </c>
      <c r="B23" t="s">
        <v>38</v>
      </c>
      <c r="C23" t="s">
        <v>9</v>
      </c>
      <c r="D23" t="s">
        <v>7</v>
      </c>
    </row>
    <row r="24" spans="1:7" x14ac:dyDescent="0.25">
      <c r="A24" t="s">
        <v>2</v>
      </c>
      <c r="B24" t="s">
        <v>40</v>
      </c>
      <c r="C24" t="s">
        <v>4</v>
      </c>
      <c r="D24" t="s">
        <v>5</v>
      </c>
      <c r="E24" t="s">
        <v>7</v>
      </c>
    </row>
    <row r="25" spans="1:7" x14ac:dyDescent="0.25">
      <c r="A25" t="s">
        <v>2</v>
      </c>
      <c r="B25" t="s">
        <v>153</v>
      </c>
      <c r="C25" t="s">
        <v>154</v>
      </c>
      <c r="D25" t="s">
        <v>7</v>
      </c>
    </row>
    <row r="26" spans="1:7" x14ac:dyDescent="0.25">
      <c r="A26" t="s">
        <v>2</v>
      </c>
      <c r="B26" t="s">
        <v>92</v>
      </c>
      <c r="C26" t="s">
        <v>4</v>
      </c>
      <c r="D26" t="s">
        <v>5</v>
      </c>
      <c r="E26" t="s">
        <v>7</v>
      </c>
      <c r="G26" t="s">
        <v>91</v>
      </c>
    </row>
    <row r="27" spans="1:7" x14ac:dyDescent="0.25">
      <c r="A27" t="s">
        <v>18</v>
      </c>
    </row>
    <row r="28" spans="1:7" x14ac:dyDescent="0.25">
      <c r="A28" t="s">
        <v>0</v>
      </c>
      <c r="B28" t="s">
        <v>46</v>
      </c>
    </row>
    <row r="29" spans="1:7" x14ac:dyDescent="0.25">
      <c r="A29" t="s">
        <v>2</v>
      </c>
      <c r="B29" t="s">
        <v>37</v>
      </c>
      <c r="C29" t="s">
        <v>9</v>
      </c>
      <c r="D29" t="s">
        <v>7</v>
      </c>
    </row>
    <row r="30" spans="1:7" x14ac:dyDescent="0.25">
      <c r="A30" t="s">
        <v>2</v>
      </c>
      <c r="B30" t="s">
        <v>47</v>
      </c>
      <c r="C30" t="s">
        <v>9</v>
      </c>
      <c r="D30" t="s">
        <v>7</v>
      </c>
    </row>
    <row r="31" spans="1:7" x14ac:dyDescent="0.25">
      <c r="A31" t="s">
        <v>2</v>
      </c>
      <c r="B31" t="s">
        <v>48</v>
      </c>
      <c r="C31" t="s">
        <v>9</v>
      </c>
      <c r="D31" t="s">
        <v>7</v>
      </c>
    </row>
    <row r="32" spans="1:7" x14ac:dyDescent="0.25">
      <c r="A32" t="s">
        <v>2</v>
      </c>
      <c r="B32" t="s">
        <v>99</v>
      </c>
      <c r="C32" t="s">
        <v>9</v>
      </c>
      <c r="D32" t="s">
        <v>7</v>
      </c>
    </row>
    <row r="33" spans="1:5" x14ac:dyDescent="0.25">
      <c r="A33" t="s">
        <v>18</v>
      </c>
    </row>
    <row r="34" spans="1:5" x14ac:dyDescent="0.25">
      <c r="A34" t="s">
        <v>0</v>
      </c>
      <c r="B34" t="s">
        <v>82</v>
      </c>
    </row>
    <row r="35" spans="1:5" x14ac:dyDescent="0.25">
      <c r="A35" t="s">
        <v>2</v>
      </c>
      <c r="B35" t="s">
        <v>42</v>
      </c>
      <c r="C35" t="s">
        <v>10</v>
      </c>
      <c r="D35" t="s">
        <v>7</v>
      </c>
    </row>
    <row r="36" spans="1:5" x14ac:dyDescent="0.25">
      <c r="A36" t="s">
        <v>2</v>
      </c>
      <c r="B36" t="s">
        <v>43</v>
      </c>
      <c r="C36" t="s">
        <v>10</v>
      </c>
      <c r="D36" t="s">
        <v>7</v>
      </c>
    </row>
    <row r="37" spans="1:5" x14ac:dyDescent="0.25">
      <c r="A37" t="s">
        <v>2</v>
      </c>
      <c r="B37" t="s">
        <v>39</v>
      </c>
      <c r="C37" t="s">
        <v>4</v>
      </c>
      <c r="D37" t="s">
        <v>5</v>
      </c>
      <c r="E37" t="s">
        <v>7</v>
      </c>
    </row>
    <row r="38" spans="1:5" x14ac:dyDescent="0.25">
      <c r="A38" t="s">
        <v>2</v>
      </c>
      <c r="B38" t="s">
        <v>36</v>
      </c>
      <c r="C38" t="s">
        <v>4</v>
      </c>
      <c r="D38" t="s">
        <v>5</v>
      </c>
      <c r="E38" t="s">
        <v>7</v>
      </c>
    </row>
    <row r="39" spans="1:5" x14ac:dyDescent="0.25">
      <c r="A39" t="s">
        <v>2</v>
      </c>
      <c r="B39" t="s">
        <v>19</v>
      </c>
      <c r="C39" t="s">
        <v>22</v>
      </c>
      <c r="D39" t="s">
        <v>23</v>
      </c>
    </row>
    <row r="40" spans="1:5" x14ac:dyDescent="0.25">
      <c r="A40" t="s">
        <v>2</v>
      </c>
      <c r="B40" t="s">
        <v>20</v>
      </c>
      <c r="C40" t="s">
        <v>22</v>
      </c>
      <c r="D40" t="s">
        <v>23</v>
      </c>
    </row>
    <row r="41" spans="1:5" x14ac:dyDescent="0.25">
      <c r="A41" t="s">
        <v>2</v>
      </c>
      <c r="B41" t="s">
        <v>21</v>
      </c>
      <c r="C41" t="s">
        <v>22</v>
      </c>
      <c r="D41" t="s">
        <v>23</v>
      </c>
    </row>
    <row r="42" spans="1:5" x14ac:dyDescent="0.25">
      <c r="A42" t="s">
        <v>18</v>
      </c>
    </row>
    <row r="43" spans="1:5" x14ac:dyDescent="0.25">
      <c r="A43" t="s">
        <v>0</v>
      </c>
      <c r="B43" t="s">
        <v>41</v>
      </c>
    </row>
    <row r="44" spans="1:5" x14ac:dyDescent="0.25">
      <c r="A44" t="s">
        <v>2</v>
      </c>
      <c r="B44" t="s">
        <v>42</v>
      </c>
      <c r="C44" t="s">
        <v>10</v>
      </c>
      <c r="D44" t="s">
        <v>7</v>
      </c>
    </row>
    <row r="45" spans="1:5" x14ac:dyDescent="0.25">
      <c r="A45" t="s">
        <v>2</v>
      </c>
      <c r="B45" t="s">
        <v>43</v>
      </c>
      <c r="C45" t="s">
        <v>10</v>
      </c>
      <c r="D45" t="s">
        <v>7</v>
      </c>
    </row>
    <row r="46" spans="1:5" x14ac:dyDescent="0.25">
      <c r="A46" t="s">
        <v>2</v>
      </c>
      <c r="B46" t="s">
        <v>143</v>
      </c>
      <c r="C46" t="s">
        <v>4</v>
      </c>
      <c r="D46" t="s">
        <v>5</v>
      </c>
      <c r="E46" t="s">
        <v>7</v>
      </c>
    </row>
    <row r="47" spans="1:5" x14ac:dyDescent="0.25">
      <c r="A47" t="s">
        <v>2</v>
      </c>
      <c r="B47" t="s">
        <v>39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115</v>
      </c>
      <c r="C48" t="s">
        <v>4</v>
      </c>
      <c r="D48" t="s">
        <v>5</v>
      </c>
      <c r="E48" t="s">
        <v>7</v>
      </c>
    </row>
    <row r="49" spans="1:7" x14ac:dyDescent="0.25">
      <c r="A49" t="s">
        <v>2</v>
      </c>
      <c r="B49" t="s">
        <v>109</v>
      </c>
      <c r="C49" t="s">
        <v>117</v>
      </c>
    </row>
    <row r="50" spans="1:7" x14ac:dyDescent="0.25">
      <c r="A50" t="s">
        <v>2</v>
      </c>
      <c r="B50" t="s">
        <v>111</v>
      </c>
      <c r="C50" t="s">
        <v>11</v>
      </c>
      <c r="D50" t="s">
        <v>5</v>
      </c>
      <c r="E50" t="s">
        <v>7</v>
      </c>
    </row>
    <row r="51" spans="1:7" x14ac:dyDescent="0.25">
      <c r="A51" t="s">
        <v>2</v>
      </c>
      <c r="B51" t="s">
        <v>141</v>
      </c>
      <c r="C51" t="s">
        <v>11</v>
      </c>
      <c r="D51" t="s">
        <v>5</v>
      </c>
      <c r="E51" t="s">
        <v>7</v>
      </c>
    </row>
    <row r="52" spans="1:7" x14ac:dyDescent="0.25">
      <c r="A52" t="s">
        <v>2</v>
      </c>
      <c r="B52" t="s">
        <v>112</v>
      </c>
      <c r="C52" t="s">
        <v>9</v>
      </c>
    </row>
    <row r="53" spans="1:7" x14ac:dyDescent="0.25">
      <c r="A53" t="s">
        <v>2</v>
      </c>
      <c r="B53" t="s">
        <v>395</v>
      </c>
      <c r="C53" t="s">
        <v>396</v>
      </c>
    </row>
    <row r="54" spans="1:7" x14ac:dyDescent="0.25">
      <c r="A54" t="s">
        <v>2</v>
      </c>
      <c r="B54" t="s">
        <v>45</v>
      </c>
      <c r="C54" t="s">
        <v>4</v>
      </c>
      <c r="D54" t="s">
        <v>5</v>
      </c>
      <c r="E54" t="s">
        <v>7</v>
      </c>
      <c r="G54" t="s">
        <v>46</v>
      </c>
    </row>
    <row r="55" spans="1:7" x14ac:dyDescent="0.25">
      <c r="A55" t="s">
        <v>2</v>
      </c>
      <c r="B55" t="s">
        <v>29</v>
      </c>
      <c r="C55" t="s">
        <v>4</v>
      </c>
      <c r="D55" t="s">
        <v>5</v>
      </c>
      <c r="E55" t="s">
        <v>7</v>
      </c>
      <c r="G55" t="s">
        <v>27</v>
      </c>
    </row>
    <row r="56" spans="1:7" x14ac:dyDescent="0.25">
      <c r="A56" t="s">
        <v>2</v>
      </c>
      <c r="B56" t="s">
        <v>108</v>
      </c>
      <c r="C56" t="s">
        <v>4</v>
      </c>
      <c r="D56" t="s">
        <v>5</v>
      </c>
      <c r="F56" t="s">
        <v>82</v>
      </c>
    </row>
    <row r="57" spans="1:7" x14ac:dyDescent="0.25">
      <c r="A57" t="s">
        <v>2</v>
      </c>
      <c r="B57" t="s">
        <v>19</v>
      </c>
      <c r="C57" t="s">
        <v>22</v>
      </c>
      <c r="D57" t="s">
        <v>23</v>
      </c>
    </row>
    <row r="58" spans="1:7" x14ac:dyDescent="0.25">
      <c r="A58" t="s">
        <v>2</v>
      </c>
      <c r="B58" t="s">
        <v>20</v>
      </c>
      <c r="C58" t="s">
        <v>22</v>
      </c>
      <c r="D58" t="s">
        <v>23</v>
      </c>
    </row>
    <row r="59" spans="1:7" x14ac:dyDescent="0.25">
      <c r="A59" t="s">
        <v>2</v>
      </c>
      <c r="B59" t="s">
        <v>21</v>
      </c>
      <c r="C59" t="s">
        <v>22</v>
      </c>
      <c r="D59" t="s">
        <v>23</v>
      </c>
    </row>
    <row r="60" spans="1:7" x14ac:dyDescent="0.25">
      <c r="A60" t="s">
        <v>18</v>
      </c>
    </row>
    <row r="61" spans="1:7" x14ac:dyDescent="0.25">
      <c r="A61" t="s">
        <v>0</v>
      </c>
      <c r="B61" t="s">
        <v>398</v>
      </c>
    </row>
    <row r="62" spans="1:7" x14ac:dyDescent="0.25">
      <c r="A62" t="s">
        <v>2</v>
      </c>
      <c r="B62" t="s">
        <v>403</v>
      </c>
      <c r="C62" t="s">
        <v>396</v>
      </c>
      <c r="D62" t="s">
        <v>7</v>
      </c>
    </row>
    <row r="63" spans="1:7" x14ac:dyDescent="0.25">
      <c r="A63" t="s">
        <v>2</v>
      </c>
      <c r="B63" t="s">
        <v>399</v>
      </c>
      <c r="C63" t="s">
        <v>10</v>
      </c>
      <c r="D63" t="s">
        <v>7</v>
      </c>
    </row>
    <row r="64" spans="1:7" x14ac:dyDescent="0.25">
      <c r="A64" t="s">
        <v>2</v>
      </c>
      <c r="B64" t="s">
        <v>29</v>
      </c>
      <c r="C64" t="s">
        <v>4</v>
      </c>
      <c r="D64" t="s">
        <v>5</v>
      </c>
      <c r="E64" t="s">
        <v>7</v>
      </c>
      <c r="G64" t="s">
        <v>27</v>
      </c>
    </row>
    <row r="65" spans="1:7" x14ac:dyDescent="0.25">
      <c r="A65" t="s">
        <v>2</v>
      </c>
      <c r="B65" t="s">
        <v>77</v>
      </c>
      <c r="C65" t="s">
        <v>4</v>
      </c>
      <c r="D65" t="s">
        <v>5</v>
      </c>
      <c r="E65" t="s">
        <v>7</v>
      </c>
      <c r="G65" t="s">
        <v>41</v>
      </c>
    </row>
    <row r="66" spans="1:7" x14ac:dyDescent="0.25">
      <c r="A66" t="s">
        <v>18</v>
      </c>
    </row>
    <row r="67" spans="1:7" x14ac:dyDescent="0.25">
      <c r="A67" t="s">
        <v>0</v>
      </c>
      <c r="B67" t="s">
        <v>76</v>
      </c>
    </row>
    <row r="68" spans="1:7" x14ac:dyDescent="0.25">
      <c r="A68" t="s">
        <v>2</v>
      </c>
      <c r="B68" t="s">
        <v>42</v>
      </c>
      <c r="C68" t="s">
        <v>10</v>
      </c>
      <c r="D68" t="s">
        <v>7</v>
      </c>
    </row>
    <row r="69" spans="1:7" x14ac:dyDescent="0.25">
      <c r="A69" t="s">
        <v>2</v>
      </c>
      <c r="B69" t="s">
        <v>43</v>
      </c>
      <c r="C69" t="s">
        <v>10</v>
      </c>
      <c r="D69" t="s">
        <v>7</v>
      </c>
    </row>
    <row r="70" spans="1:7" x14ac:dyDescent="0.25">
      <c r="A70" t="s">
        <v>2</v>
      </c>
      <c r="B70" t="s">
        <v>104</v>
      </c>
      <c r="C70" t="s">
        <v>4</v>
      </c>
      <c r="D70" t="s">
        <v>5</v>
      </c>
      <c r="E70" t="s">
        <v>7</v>
      </c>
    </row>
    <row r="71" spans="1:7" x14ac:dyDescent="0.25">
      <c r="A71" t="s">
        <v>2</v>
      </c>
      <c r="B71" t="s">
        <v>105</v>
      </c>
      <c r="C71" t="s">
        <v>4</v>
      </c>
      <c r="D71" t="s">
        <v>5</v>
      </c>
      <c r="E71" t="s">
        <v>7</v>
      </c>
    </row>
    <row r="72" spans="1:7" x14ac:dyDescent="0.25">
      <c r="A72" t="s">
        <v>2</v>
      </c>
      <c r="B72" t="s">
        <v>77</v>
      </c>
      <c r="C72" t="s">
        <v>4</v>
      </c>
      <c r="D72" t="s">
        <v>5</v>
      </c>
      <c r="E72" t="s">
        <v>7</v>
      </c>
      <c r="G72" t="s">
        <v>41</v>
      </c>
    </row>
    <row r="73" spans="1:7" x14ac:dyDescent="0.25">
      <c r="A73" t="s">
        <v>2</v>
      </c>
      <c r="B73" t="s">
        <v>92</v>
      </c>
      <c r="C73" t="s">
        <v>4</v>
      </c>
      <c r="D73" t="s">
        <v>5</v>
      </c>
      <c r="E73" t="s">
        <v>7</v>
      </c>
      <c r="G73" t="s">
        <v>91</v>
      </c>
    </row>
    <row r="74" spans="1:7" x14ac:dyDescent="0.25">
      <c r="A74" t="s">
        <v>2</v>
      </c>
      <c r="B74" t="s">
        <v>44</v>
      </c>
      <c r="C74" t="s">
        <v>4</v>
      </c>
      <c r="D74" t="s">
        <v>5</v>
      </c>
      <c r="F74" t="s">
        <v>36</v>
      </c>
    </row>
    <row r="75" spans="1:7" x14ac:dyDescent="0.25">
      <c r="A75" t="s">
        <v>18</v>
      </c>
    </row>
    <row r="76" spans="1:7" x14ac:dyDescent="0.25">
      <c r="A76" t="s">
        <v>0</v>
      </c>
      <c r="B76" t="s">
        <v>137</v>
      </c>
    </row>
    <row r="77" spans="1:7" x14ac:dyDescent="0.25">
      <c r="A77" t="s">
        <v>2</v>
      </c>
      <c r="B77" t="s">
        <v>119</v>
      </c>
      <c r="C77" t="s">
        <v>129</v>
      </c>
      <c r="D77" t="s">
        <v>7</v>
      </c>
    </row>
    <row r="78" spans="1:7" x14ac:dyDescent="0.25">
      <c r="A78" t="s">
        <v>2</v>
      </c>
      <c r="B78" t="s">
        <v>122</v>
      </c>
      <c r="C78" t="s">
        <v>130</v>
      </c>
      <c r="D78" t="s">
        <v>7</v>
      </c>
    </row>
    <row r="79" spans="1:7" x14ac:dyDescent="0.25">
      <c r="A79" t="s">
        <v>2</v>
      </c>
      <c r="B79" t="s">
        <v>120</v>
      </c>
      <c r="C79" t="s">
        <v>130</v>
      </c>
      <c r="D79" t="s">
        <v>7</v>
      </c>
    </row>
    <row r="80" spans="1:7" x14ac:dyDescent="0.25">
      <c r="A80" t="s">
        <v>2</v>
      </c>
      <c r="B80" t="s">
        <v>121</v>
      </c>
      <c r="C80" t="s">
        <v>130</v>
      </c>
      <c r="D80" t="s">
        <v>7</v>
      </c>
    </row>
    <row r="81" spans="1:6" x14ac:dyDescent="0.25">
      <c r="A81" t="s">
        <v>2</v>
      </c>
      <c r="B81" t="s">
        <v>123</v>
      </c>
      <c r="C81" t="s">
        <v>130</v>
      </c>
      <c r="D81" t="s">
        <v>7</v>
      </c>
    </row>
    <row r="82" spans="1:6" x14ac:dyDescent="0.25">
      <c r="A82" t="s">
        <v>18</v>
      </c>
    </row>
    <row r="83" spans="1:6" x14ac:dyDescent="0.25">
      <c r="A83" t="s">
        <v>24</v>
      </c>
      <c r="B83" t="s">
        <v>137</v>
      </c>
    </row>
    <row r="84" spans="1:6" x14ac:dyDescent="0.25">
      <c r="A84" t="s">
        <v>25</v>
      </c>
      <c r="B84" s="2" t="s">
        <v>124</v>
      </c>
      <c r="C84" t="s">
        <v>125</v>
      </c>
      <c r="D84" t="s">
        <v>126</v>
      </c>
      <c r="E84" t="s">
        <v>127</v>
      </c>
      <c r="F84" t="s">
        <v>128</v>
      </c>
    </row>
    <row r="85" spans="1:6" x14ac:dyDescent="0.25">
      <c r="A85" t="s">
        <v>26</v>
      </c>
    </row>
    <row r="86" spans="1:6" x14ac:dyDescent="0.25">
      <c r="A86" t="s">
        <v>24</v>
      </c>
      <c r="B86" t="s">
        <v>184</v>
      </c>
    </row>
    <row r="87" spans="1:6" x14ac:dyDescent="0.25">
      <c r="A87" t="s">
        <v>25</v>
      </c>
      <c r="B87" t="s">
        <v>175</v>
      </c>
    </row>
    <row r="88" spans="1:6" x14ac:dyDescent="0.25">
      <c r="A88" t="s">
        <v>25</v>
      </c>
      <c r="B88" t="s">
        <v>176</v>
      </c>
    </row>
    <row r="89" spans="1:6" x14ac:dyDescent="0.25">
      <c r="A89" t="s">
        <v>26</v>
      </c>
    </row>
    <row r="90" spans="1:6" x14ac:dyDescent="0.25">
      <c r="A90" t="s">
        <v>24</v>
      </c>
      <c r="B90" t="s">
        <v>27</v>
      </c>
    </row>
    <row r="91" spans="1:6" x14ac:dyDescent="0.25">
      <c r="A91" t="s">
        <v>25</v>
      </c>
      <c r="B91" t="s">
        <v>49</v>
      </c>
    </row>
    <row r="92" spans="1:6" x14ac:dyDescent="0.25">
      <c r="A92" t="s">
        <v>25</v>
      </c>
      <c r="B92" t="s">
        <v>50</v>
      </c>
    </row>
    <row r="93" spans="1:6" x14ac:dyDescent="0.25">
      <c r="A93" t="s">
        <v>25</v>
      </c>
      <c r="B93" t="s">
        <v>51</v>
      </c>
    </row>
    <row r="94" spans="1:6" x14ac:dyDescent="0.25">
      <c r="A94" t="s">
        <v>25</v>
      </c>
      <c r="B94" t="s">
        <v>200</v>
      </c>
    </row>
    <row r="95" spans="1:6" x14ac:dyDescent="0.25">
      <c r="A95" t="s">
        <v>26</v>
      </c>
    </row>
    <row r="96" spans="1:6" x14ac:dyDescent="0.25">
      <c r="A96" t="s">
        <v>24</v>
      </c>
      <c r="B96" t="s">
        <v>91</v>
      </c>
    </row>
    <row r="97" spans="1:7" x14ac:dyDescent="0.25">
      <c r="A97" t="s">
        <v>25</v>
      </c>
      <c r="B97" t="s">
        <v>190</v>
      </c>
      <c r="C97" t="s">
        <v>85</v>
      </c>
      <c r="D97" t="s">
        <v>52</v>
      </c>
      <c r="E97">
        <v>3</v>
      </c>
      <c r="F97">
        <v>175000</v>
      </c>
      <c r="G97" t="s">
        <v>147</v>
      </c>
    </row>
    <row r="98" spans="1:7" x14ac:dyDescent="0.25">
      <c r="A98" t="s">
        <v>25</v>
      </c>
      <c r="B98" t="s">
        <v>191</v>
      </c>
      <c r="C98" t="s">
        <v>86</v>
      </c>
      <c r="D98" t="s">
        <v>53</v>
      </c>
      <c r="E98">
        <v>2</v>
      </c>
      <c r="F98">
        <v>150000</v>
      </c>
      <c r="G98" t="s">
        <v>148</v>
      </c>
    </row>
    <row r="99" spans="1:7" x14ac:dyDescent="0.25">
      <c r="A99" t="s">
        <v>25</v>
      </c>
      <c r="B99" t="s">
        <v>192</v>
      </c>
      <c r="C99" t="s">
        <v>87</v>
      </c>
      <c r="D99" t="s">
        <v>54</v>
      </c>
      <c r="E99">
        <v>2</v>
      </c>
      <c r="F99">
        <v>150000</v>
      </c>
      <c r="G99" t="s">
        <v>149</v>
      </c>
    </row>
    <row r="100" spans="1:7" x14ac:dyDescent="0.25">
      <c r="A100" t="s">
        <v>25</v>
      </c>
      <c r="B100" t="s">
        <v>193</v>
      </c>
      <c r="C100" t="s">
        <v>88</v>
      </c>
      <c r="D100" t="s">
        <v>393</v>
      </c>
      <c r="E100">
        <v>4</v>
      </c>
      <c r="F100">
        <v>125000</v>
      </c>
      <c r="G100" t="s">
        <v>150</v>
      </c>
    </row>
    <row r="101" spans="1:7" x14ac:dyDescent="0.25">
      <c r="A101" t="s">
        <v>25</v>
      </c>
      <c r="B101" t="s">
        <v>194</v>
      </c>
      <c r="C101" t="s">
        <v>89</v>
      </c>
      <c r="D101" t="s">
        <v>102</v>
      </c>
      <c r="E101">
        <v>4</v>
      </c>
      <c r="F101">
        <v>250000</v>
      </c>
      <c r="G101" t="s">
        <v>151</v>
      </c>
    </row>
    <row r="102" spans="1:7" x14ac:dyDescent="0.25">
      <c r="A102" t="s">
        <v>26</v>
      </c>
    </row>
    <row r="103" spans="1:7" x14ac:dyDescent="0.25">
      <c r="A103" t="s">
        <v>24</v>
      </c>
      <c r="B103" t="s">
        <v>36</v>
      </c>
    </row>
    <row r="104" spans="1:7" x14ac:dyDescent="0.25">
      <c r="A104" t="s">
        <v>25</v>
      </c>
      <c r="B104">
        <v>11</v>
      </c>
      <c r="C104">
        <v>1</v>
      </c>
      <c r="D104" t="b">
        <v>1</v>
      </c>
      <c r="E104">
        <v>1</v>
      </c>
    </row>
    <row r="105" spans="1:7" x14ac:dyDescent="0.25">
      <c r="A105" t="s">
        <v>25</v>
      </c>
      <c r="B105">
        <v>12</v>
      </c>
      <c r="C105">
        <v>1</v>
      </c>
      <c r="D105" t="b">
        <v>1</v>
      </c>
      <c r="E105">
        <v>2</v>
      </c>
    </row>
    <row r="106" spans="1:7" x14ac:dyDescent="0.25">
      <c r="A106" t="s">
        <v>25</v>
      </c>
      <c r="B106">
        <v>14</v>
      </c>
      <c r="C106">
        <v>1</v>
      </c>
      <c r="D106" t="b">
        <v>1</v>
      </c>
      <c r="E106">
        <v>2</v>
      </c>
    </row>
    <row r="107" spans="1:7" x14ac:dyDescent="0.25">
      <c r="A107" t="s">
        <v>25</v>
      </c>
      <c r="B107">
        <v>15</v>
      </c>
      <c r="C107">
        <v>1</v>
      </c>
      <c r="D107" t="b">
        <v>1</v>
      </c>
      <c r="E107">
        <v>2</v>
      </c>
    </row>
    <row r="108" spans="1:7" x14ac:dyDescent="0.25">
      <c r="A108" t="s">
        <v>25</v>
      </c>
      <c r="B108">
        <v>16</v>
      </c>
      <c r="C108">
        <v>1</v>
      </c>
      <c r="D108" t="b">
        <v>1</v>
      </c>
      <c r="E108">
        <v>2</v>
      </c>
    </row>
    <row r="109" spans="1:7" x14ac:dyDescent="0.25">
      <c r="A109" t="s">
        <v>25</v>
      </c>
      <c r="B109">
        <v>17</v>
      </c>
      <c r="C109">
        <v>1</v>
      </c>
      <c r="D109" t="b">
        <v>1</v>
      </c>
      <c r="E109">
        <v>3</v>
      </c>
    </row>
    <row r="110" spans="1:7" x14ac:dyDescent="0.25">
      <c r="A110" t="s">
        <v>25</v>
      </c>
      <c r="B110">
        <v>21</v>
      </c>
      <c r="C110">
        <v>2</v>
      </c>
      <c r="D110" t="b">
        <v>1</v>
      </c>
      <c r="E110">
        <v>1</v>
      </c>
    </row>
    <row r="111" spans="1:7" x14ac:dyDescent="0.25">
      <c r="A111" t="s">
        <v>25</v>
      </c>
      <c r="B111">
        <v>22</v>
      </c>
      <c r="C111">
        <v>2</v>
      </c>
      <c r="D111" t="b">
        <v>1</v>
      </c>
      <c r="E111">
        <v>2</v>
      </c>
    </row>
    <row r="112" spans="1:7" x14ac:dyDescent="0.25">
      <c r="A112" t="s">
        <v>25</v>
      </c>
      <c r="B112">
        <v>24</v>
      </c>
      <c r="C112">
        <v>2</v>
      </c>
      <c r="D112" t="b">
        <v>1</v>
      </c>
      <c r="E112">
        <v>2</v>
      </c>
    </row>
    <row r="113" spans="1:5" x14ac:dyDescent="0.25">
      <c r="A113" t="s">
        <v>25</v>
      </c>
      <c r="B113">
        <v>25</v>
      </c>
      <c r="C113">
        <v>2</v>
      </c>
      <c r="D113" t="b">
        <v>1</v>
      </c>
      <c r="E113">
        <v>2</v>
      </c>
    </row>
    <row r="114" spans="1:5" x14ac:dyDescent="0.25">
      <c r="A114" t="s">
        <v>25</v>
      </c>
      <c r="B114">
        <v>26</v>
      </c>
      <c r="C114">
        <v>2</v>
      </c>
      <c r="D114" t="b">
        <v>1</v>
      </c>
      <c r="E114">
        <v>2</v>
      </c>
    </row>
    <row r="115" spans="1:5" x14ac:dyDescent="0.25">
      <c r="A115" t="s">
        <v>25</v>
      </c>
      <c r="B115">
        <v>27</v>
      </c>
      <c r="C115">
        <v>2</v>
      </c>
      <c r="D115" t="b">
        <v>1</v>
      </c>
      <c r="E115">
        <v>3</v>
      </c>
    </row>
    <row r="116" spans="1:5" x14ac:dyDescent="0.25">
      <c r="A116" t="s">
        <v>25</v>
      </c>
      <c r="B116">
        <v>31</v>
      </c>
      <c r="C116">
        <v>4</v>
      </c>
      <c r="D116" t="b">
        <v>1</v>
      </c>
      <c r="E116">
        <v>4</v>
      </c>
    </row>
    <row r="117" spans="1:5" x14ac:dyDescent="0.25">
      <c r="A117" t="s">
        <v>25</v>
      </c>
      <c r="B117">
        <v>32</v>
      </c>
      <c r="C117">
        <v>5</v>
      </c>
      <c r="D117" t="b">
        <v>1</v>
      </c>
      <c r="E117">
        <v>5</v>
      </c>
    </row>
    <row r="118" spans="1:5" x14ac:dyDescent="0.25">
      <c r="A118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43"/>
  <sheetViews>
    <sheetView tabSelected="1" topLeftCell="A111" workbookViewId="0">
      <selection sqref="A1:A143"/>
    </sheetView>
  </sheetViews>
  <sheetFormatPr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12</v>
      </c>
    </row>
    <row r="4" spans="1:1" x14ac:dyDescent="0.25">
      <c r="A4" t="s">
        <v>55</v>
      </c>
    </row>
    <row r="5" spans="1:1" x14ac:dyDescent="0.25">
      <c r="A5" t="s">
        <v>13</v>
      </c>
    </row>
    <row r="6" spans="1:1" x14ac:dyDescent="0.25">
      <c r="A6" t="s">
        <v>185</v>
      </c>
    </row>
    <row r="7" spans="1:1" x14ac:dyDescent="0.25">
      <c r="A7" t="s">
        <v>12</v>
      </c>
    </row>
    <row r="8" spans="1:1" x14ac:dyDescent="0.25">
      <c r="A8" t="s">
        <v>177</v>
      </c>
    </row>
    <row r="9" spans="1:1" x14ac:dyDescent="0.25">
      <c r="A9" t="s">
        <v>13</v>
      </c>
    </row>
    <row r="10" spans="1:1" x14ac:dyDescent="0.25">
      <c r="A10" t="s">
        <v>178</v>
      </c>
    </row>
    <row r="11" spans="1:1" x14ac:dyDescent="0.25">
      <c r="A11" t="s">
        <v>12</v>
      </c>
    </row>
    <row r="12" spans="1:1" x14ac:dyDescent="0.25">
      <c r="A12" t="s">
        <v>186</v>
      </c>
    </row>
    <row r="13" spans="1:1" x14ac:dyDescent="0.25">
      <c r="A13" t="s">
        <v>179</v>
      </c>
    </row>
    <row r="14" spans="1:1" x14ac:dyDescent="0.25">
      <c r="A14" t="s">
        <v>180</v>
      </c>
    </row>
    <row r="15" spans="1:1" x14ac:dyDescent="0.25">
      <c r="A15" t="s">
        <v>187</v>
      </c>
    </row>
    <row r="16" spans="1:1" x14ac:dyDescent="0.25">
      <c r="A16" t="s">
        <v>13</v>
      </c>
    </row>
    <row r="17" spans="1:1" x14ac:dyDescent="0.25">
      <c r="A17" t="s">
        <v>93</v>
      </c>
    </row>
    <row r="18" spans="1:1" x14ac:dyDescent="0.25">
      <c r="A18" t="s">
        <v>12</v>
      </c>
    </row>
    <row r="19" spans="1:1" x14ac:dyDescent="0.25">
      <c r="A19" t="s">
        <v>195</v>
      </c>
    </row>
    <row r="20" spans="1:1" x14ac:dyDescent="0.25">
      <c r="A20" t="s">
        <v>96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140</v>
      </c>
    </row>
    <row r="24" spans="1:1" x14ac:dyDescent="0.25">
      <c r="A24" t="s">
        <v>152</v>
      </c>
    </row>
    <row r="25" spans="1:1" x14ac:dyDescent="0.25">
      <c r="A25" t="s">
        <v>13</v>
      </c>
    </row>
    <row r="26" spans="1:1" x14ac:dyDescent="0.25">
      <c r="A26" t="s">
        <v>71</v>
      </c>
    </row>
    <row r="27" spans="1:1" x14ac:dyDescent="0.25">
      <c r="A27" t="s">
        <v>12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155</v>
      </c>
    </row>
    <row r="31" spans="1:1" x14ac:dyDescent="0.25">
      <c r="A31" t="s">
        <v>94</v>
      </c>
    </row>
    <row r="32" spans="1:1" x14ac:dyDescent="0.25">
      <c r="A32" t="s">
        <v>95</v>
      </c>
    </row>
    <row r="33" spans="1:1" x14ac:dyDescent="0.25">
      <c r="A33" t="s">
        <v>13</v>
      </c>
    </row>
    <row r="34" spans="1:1" x14ac:dyDescent="0.25">
      <c r="A34" t="s">
        <v>72</v>
      </c>
    </row>
    <row r="35" spans="1:1" x14ac:dyDescent="0.25">
      <c r="A35" t="s">
        <v>12</v>
      </c>
    </row>
    <row r="36" spans="1:1" x14ac:dyDescent="0.25">
      <c r="A36" t="s">
        <v>60</v>
      </c>
    </row>
    <row r="37" spans="1:1" x14ac:dyDescent="0.25">
      <c r="A37" t="s">
        <v>61</v>
      </c>
    </row>
    <row r="38" spans="1:1" x14ac:dyDescent="0.25">
      <c r="A38" t="s">
        <v>100</v>
      </c>
    </row>
    <row r="39" spans="1:1" x14ac:dyDescent="0.25">
      <c r="A39" t="s">
        <v>101</v>
      </c>
    </row>
    <row r="40" spans="1:1" x14ac:dyDescent="0.25">
      <c r="A40" t="s">
        <v>13</v>
      </c>
    </row>
    <row r="41" spans="1:1" x14ac:dyDescent="0.25">
      <c r="A41" t="s">
        <v>83</v>
      </c>
    </row>
    <row r="42" spans="1:1" x14ac:dyDescent="0.25">
      <c r="A42" t="s">
        <v>12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59</v>
      </c>
    </row>
    <row r="46" spans="1:1" x14ac:dyDescent="0.25">
      <c r="A46" t="s">
        <v>84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66</v>
      </c>
    </row>
    <row r="50" spans="1:1" x14ac:dyDescent="0.25">
      <c r="A50" t="s">
        <v>13</v>
      </c>
    </row>
    <row r="51" spans="1:1" x14ac:dyDescent="0.25">
      <c r="A51" t="s">
        <v>73</v>
      </c>
    </row>
    <row r="52" spans="1:1" x14ac:dyDescent="0.25">
      <c r="A52" t="s">
        <v>12</v>
      </c>
    </row>
    <row r="53" spans="1:1" x14ac:dyDescent="0.25">
      <c r="A53" t="s">
        <v>62</v>
      </c>
    </row>
    <row r="54" spans="1:1" x14ac:dyDescent="0.25">
      <c r="A54" t="s">
        <v>63</v>
      </c>
    </row>
    <row r="55" spans="1:1" x14ac:dyDescent="0.25">
      <c r="A55" t="s">
        <v>144</v>
      </c>
    </row>
    <row r="56" spans="1:1" x14ac:dyDescent="0.25">
      <c r="A56" t="s">
        <v>59</v>
      </c>
    </row>
    <row r="57" spans="1:1" x14ac:dyDescent="0.25">
      <c r="A57" t="s">
        <v>116</v>
      </c>
    </row>
    <row r="58" spans="1:1" x14ac:dyDescent="0.25">
      <c r="A58" t="s">
        <v>118</v>
      </c>
    </row>
    <row r="59" spans="1:1" x14ac:dyDescent="0.25">
      <c r="A59" t="s">
        <v>113</v>
      </c>
    </row>
    <row r="60" spans="1:1" x14ac:dyDescent="0.25">
      <c r="A60" t="s">
        <v>142</v>
      </c>
    </row>
    <row r="61" spans="1:1" x14ac:dyDescent="0.25">
      <c r="A61" t="s">
        <v>114</v>
      </c>
    </row>
    <row r="62" spans="1:1" x14ac:dyDescent="0.25">
      <c r="A62" t="s">
        <v>397</v>
      </c>
    </row>
    <row r="63" spans="1:1" x14ac:dyDescent="0.25">
      <c r="A63" t="s">
        <v>64</v>
      </c>
    </row>
    <row r="64" spans="1:1" x14ac:dyDescent="0.25">
      <c r="A64" t="s">
        <v>65</v>
      </c>
    </row>
    <row r="65" spans="1:1" x14ac:dyDescent="0.25">
      <c r="A65" t="s">
        <v>30</v>
      </c>
    </row>
    <row r="66" spans="1:1" x14ac:dyDescent="0.25">
      <c r="A66" t="s">
        <v>31</v>
      </c>
    </row>
    <row r="67" spans="1:1" x14ac:dyDescent="0.25">
      <c r="A67" t="s">
        <v>203</v>
      </c>
    </row>
    <row r="68" spans="1:1" x14ac:dyDescent="0.25">
      <c r="A68" t="s">
        <v>110</v>
      </c>
    </row>
    <row r="69" spans="1:1" x14ac:dyDescent="0.25">
      <c r="A69" t="s">
        <v>14</v>
      </c>
    </row>
    <row r="70" spans="1:1" x14ac:dyDescent="0.25">
      <c r="A70" t="s">
        <v>15</v>
      </c>
    </row>
    <row r="71" spans="1:1" x14ac:dyDescent="0.25">
      <c r="A71" t="s">
        <v>66</v>
      </c>
    </row>
    <row r="72" spans="1:1" x14ac:dyDescent="0.25">
      <c r="A72" t="s">
        <v>13</v>
      </c>
    </row>
    <row r="73" spans="1:1" x14ac:dyDescent="0.25">
      <c r="A73" t="s">
        <v>400</v>
      </c>
    </row>
    <row r="74" spans="1:1" x14ac:dyDescent="0.25">
      <c r="A74" t="s">
        <v>12</v>
      </c>
    </row>
    <row r="75" spans="1:1" x14ac:dyDescent="0.25">
      <c r="A75" t="s">
        <v>404</v>
      </c>
    </row>
    <row r="76" spans="1:1" x14ac:dyDescent="0.25">
      <c r="A76" t="s">
        <v>401</v>
      </c>
    </row>
    <row r="77" spans="1:1" x14ac:dyDescent="0.25">
      <c r="A77" t="s">
        <v>30</v>
      </c>
    </row>
    <row r="78" spans="1:1" x14ac:dyDescent="0.25">
      <c r="A78" t="s">
        <v>31</v>
      </c>
    </row>
    <row r="79" spans="1:1" x14ac:dyDescent="0.25">
      <c r="A79" t="s">
        <v>80</v>
      </c>
    </row>
    <row r="80" spans="1:1" x14ac:dyDescent="0.25">
      <c r="A80" t="s">
        <v>402</v>
      </c>
    </row>
    <row r="81" spans="1:1" x14ac:dyDescent="0.25">
      <c r="A81" t="s">
        <v>13</v>
      </c>
    </row>
    <row r="82" spans="1:1" x14ac:dyDescent="0.25">
      <c r="A82" t="s">
        <v>79</v>
      </c>
    </row>
    <row r="83" spans="1:1" x14ac:dyDescent="0.25">
      <c r="A83" t="s">
        <v>12</v>
      </c>
    </row>
    <row r="84" spans="1:1" x14ac:dyDescent="0.25">
      <c r="A84" t="s">
        <v>62</v>
      </c>
    </row>
    <row r="85" spans="1:1" x14ac:dyDescent="0.25">
      <c r="A85" t="s">
        <v>63</v>
      </c>
    </row>
    <row r="86" spans="1:1" x14ac:dyDescent="0.25">
      <c r="A86" t="s">
        <v>106</v>
      </c>
    </row>
    <row r="87" spans="1:1" x14ac:dyDescent="0.25">
      <c r="A87" t="s">
        <v>107</v>
      </c>
    </row>
    <row r="88" spans="1:1" x14ac:dyDescent="0.25">
      <c r="A88" t="s">
        <v>80</v>
      </c>
    </row>
    <row r="89" spans="1:1" x14ac:dyDescent="0.25">
      <c r="A89" t="s">
        <v>81</v>
      </c>
    </row>
    <row r="90" spans="1:1" x14ac:dyDescent="0.25">
      <c r="A90" t="s">
        <v>94</v>
      </c>
    </row>
    <row r="91" spans="1:1" x14ac:dyDescent="0.25">
      <c r="A91" t="s">
        <v>103</v>
      </c>
    </row>
    <row r="92" spans="1:1" x14ac:dyDescent="0.25">
      <c r="A92" t="s">
        <v>145</v>
      </c>
    </row>
    <row r="93" spans="1:1" x14ac:dyDescent="0.25">
      <c r="A93" t="s">
        <v>98</v>
      </c>
    </row>
    <row r="94" spans="1:1" x14ac:dyDescent="0.25">
      <c r="A94" t="s">
        <v>13</v>
      </c>
    </row>
    <row r="95" spans="1:1" x14ac:dyDescent="0.25">
      <c r="A95" t="s">
        <v>138</v>
      </c>
    </row>
    <row r="96" spans="1:1" x14ac:dyDescent="0.25">
      <c r="A96" t="s">
        <v>12</v>
      </c>
    </row>
    <row r="97" spans="1:1" x14ac:dyDescent="0.25">
      <c r="A97" t="s">
        <v>131</v>
      </c>
    </row>
    <row r="98" spans="1:1" x14ac:dyDescent="0.25">
      <c r="A98" t="s">
        <v>132</v>
      </c>
    </row>
    <row r="99" spans="1:1" x14ac:dyDescent="0.25">
      <c r="A99" t="s">
        <v>133</v>
      </c>
    </row>
    <row r="100" spans="1:1" x14ac:dyDescent="0.25">
      <c r="A100" t="s">
        <v>134</v>
      </c>
    </row>
    <row r="101" spans="1:1" x14ac:dyDescent="0.25">
      <c r="A101" t="s">
        <v>135</v>
      </c>
    </row>
    <row r="102" spans="1:1" x14ac:dyDescent="0.25">
      <c r="A102" t="s">
        <v>13</v>
      </c>
    </row>
    <row r="103" spans="1:1" x14ac:dyDescent="0.25">
      <c r="A103" t="s">
        <v>139</v>
      </c>
    </row>
    <row r="104" spans="1:1" x14ac:dyDescent="0.25">
      <c r="A104" t="s">
        <v>16</v>
      </c>
    </row>
    <row r="105" spans="1:1" x14ac:dyDescent="0.25">
      <c r="A105" t="s">
        <v>136</v>
      </c>
    </row>
    <row r="106" spans="1:1" x14ac:dyDescent="0.25">
      <c r="A106" t="s">
        <v>17</v>
      </c>
    </row>
    <row r="107" spans="1:1" x14ac:dyDescent="0.25">
      <c r="A107" t="s">
        <v>188</v>
      </c>
    </row>
    <row r="108" spans="1:1" x14ac:dyDescent="0.25">
      <c r="A108" t="s">
        <v>16</v>
      </c>
    </row>
    <row r="109" spans="1:1" x14ac:dyDescent="0.25">
      <c r="A109" t="s">
        <v>181</v>
      </c>
    </row>
    <row r="110" spans="1:1" x14ac:dyDescent="0.25">
      <c r="A110" t="s">
        <v>182</v>
      </c>
    </row>
    <row r="111" spans="1:1" x14ac:dyDescent="0.25">
      <c r="A111" t="s">
        <v>17</v>
      </c>
    </row>
    <row r="112" spans="1:1" x14ac:dyDescent="0.25">
      <c r="A112" t="s">
        <v>74</v>
      </c>
    </row>
    <row r="113" spans="1:1" x14ac:dyDescent="0.25">
      <c r="A113" t="s">
        <v>16</v>
      </c>
    </row>
    <row r="114" spans="1:1" x14ac:dyDescent="0.25">
      <c r="A114" t="s">
        <v>67</v>
      </c>
    </row>
    <row r="115" spans="1:1" x14ac:dyDescent="0.25">
      <c r="A115" t="s">
        <v>68</v>
      </c>
    </row>
    <row r="116" spans="1:1" x14ac:dyDescent="0.25">
      <c r="A116" t="s">
        <v>201</v>
      </c>
    </row>
    <row r="117" spans="1:1" x14ac:dyDescent="0.25">
      <c r="A117" t="s">
        <v>202</v>
      </c>
    </row>
    <row r="118" spans="1:1" x14ac:dyDescent="0.25">
      <c r="A118" t="s">
        <v>17</v>
      </c>
    </row>
    <row r="119" spans="1:1" x14ac:dyDescent="0.25">
      <c r="A119" t="s">
        <v>97</v>
      </c>
    </row>
    <row r="120" spans="1:1" x14ac:dyDescent="0.25">
      <c r="A120" t="s">
        <v>16</v>
      </c>
    </row>
    <row r="121" spans="1:1" x14ac:dyDescent="0.25">
      <c r="A121" t="s">
        <v>196</v>
      </c>
    </row>
    <row r="122" spans="1:1" x14ac:dyDescent="0.25">
      <c r="A122" t="s">
        <v>197</v>
      </c>
    </row>
    <row r="123" spans="1:1" x14ac:dyDescent="0.25">
      <c r="A123" t="s">
        <v>198</v>
      </c>
    </row>
    <row r="124" spans="1:1" x14ac:dyDescent="0.25">
      <c r="A124" t="s">
        <v>394</v>
      </c>
    </row>
    <row r="125" spans="1:1" x14ac:dyDescent="0.25">
      <c r="A125" t="s">
        <v>199</v>
      </c>
    </row>
    <row r="126" spans="1:1" x14ac:dyDescent="0.25">
      <c r="A126" t="s">
        <v>17</v>
      </c>
    </row>
    <row r="127" spans="1:1" x14ac:dyDescent="0.25">
      <c r="A127" t="s">
        <v>75</v>
      </c>
    </row>
    <row r="128" spans="1:1" x14ac:dyDescent="0.25">
      <c r="A128" t="s">
        <v>16</v>
      </c>
    </row>
    <row r="129" spans="1:1" x14ac:dyDescent="0.25">
      <c r="A129" t="s">
        <v>156</v>
      </c>
    </row>
    <row r="130" spans="1:1" x14ac:dyDescent="0.25">
      <c r="A130" t="s">
        <v>157</v>
      </c>
    </row>
    <row r="131" spans="1:1" x14ac:dyDescent="0.25">
      <c r="A131" t="s">
        <v>158</v>
      </c>
    </row>
    <row r="132" spans="1:1" x14ac:dyDescent="0.25">
      <c r="A132" t="s">
        <v>159</v>
      </c>
    </row>
    <row r="133" spans="1:1" x14ac:dyDescent="0.25">
      <c r="A133" t="s">
        <v>160</v>
      </c>
    </row>
    <row r="134" spans="1:1" x14ac:dyDescent="0.25">
      <c r="A134" t="s">
        <v>161</v>
      </c>
    </row>
    <row r="135" spans="1:1" x14ac:dyDescent="0.25">
      <c r="A135" t="s">
        <v>162</v>
      </c>
    </row>
    <row r="136" spans="1:1" x14ac:dyDescent="0.25">
      <c r="A136" t="s">
        <v>163</v>
      </c>
    </row>
    <row r="137" spans="1:1" x14ac:dyDescent="0.25">
      <c r="A137" t="s">
        <v>164</v>
      </c>
    </row>
    <row r="138" spans="1:1" x14ac:dyDescent="0.25">
      <c r="A138" t="s">
        <v>165</v>
      </c>
    </row>
    <row r="139" spans="1:1" x14ac:dyDescent="0.25">
      <c r="A139" t="s">
        <v>166</v>
      </c>
    </row>
    <row r="140" spans="1:1" x14ac:dyDescent="0.25">
      <c r="A140" t="s">
        <v>167</v>
      </c>
    </row>
    <row r="141" spans="1:1" x14ac:dyDescent="0.25">
      <c r="A141" t="s">
        <v>168</v>
      </c>
    </row>
    <row r="142" spans="1:1" x14ac:dyDescent="0.25">
      <c r="A142" t="s">
        <v>169</v>
      </c>
    </row>
    <row r="143" spans="1:1" x14ac:dyDescent="0.25">
      <c r="A143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0C7A-4EEB-4482-982F-4A569955F537}">
  <dimension ref="A1:P245"/>
  <sheetViews>
    <sheetView topLeftCell="A227" zoomScale="130" zoomScaleNormal="130" workbookViewId="0">
      <selection activeCell="A213" sqref="A213"/>
    </sheetView>
  </sheetViews>
  <sheetFormatPr defaultRowHeight="15" x14ac:dyDescent="0.25"/>
  <cols>
    <col min="1" max="1" width="3.140625" customWidth="1"/>
    <col min="3" max="3" width="12.7109375" bestFit="1" customWidth="1"/>
  </cols>
  <sheetData>
    <row r="1" spans="1:16" s="1" customFormat="1" x14ac:dyDescent="0.25">
      <c r="B1" s="1" t="s">
        <v>343</v>
      </c>
    </row>
    <row r="2" spans="1:16" x14ac:dyDescent="0.25">
      <c r="A2" t="s">
        <v>392</v>
      </c>
      <c r="B2" t="s">
        <v>339</v>
      </c>
    </row>
    <row r="3" spans="1:16" x14ac:dyDescent="0.25">
      <c r="A3" t="s">
        <v>392</v>
      </c>
      <c r="B3" t="s">
        <v>342</v>
      </c>
    </row>
    <row r="4" spans="1:16" x14ac:dyDescent="0.25">
      <c r="A4" t="s">
        <v>392</v>
      </c>
      <c r="B4" t="s">
        <v>341</v>
      </c>
    </row>
    <row r="5" spans="1:16" x14ac:dyDescent="0.25">
      <c r="A5" t="s">
        <v>392</v>
      </c>
      <c r="B5" t="s">
        <v>340</v>
      </c>
    </row>
    <row r="6" spans="1:16" x14ac:dyDescent="0.25">
      <c r="B6" t="s">
        <v>204</v>
      </c>
    </row>
    <row r="7" spans="1:16" x14ac:dyDescent="0.25">
      <c r="C7" t="s">
        <v>205</v>
      </c>
      <c r="D7" s="3">
        <f ca="1">+TODAY()+3</f>
        <v>45975</v>
      </c>
    </row>
    <row r="8" spans="1:16" x14ac:dyDescent="0.25">
      <c r="C8" t="s">
        <v>206</v>
      </c>
      <c r="D8" s="3">
        <f ca="1">+D7+5</f>
        <v>45980</v>
      </c>
    </row>
    <row r="9" spans="1:16" x14ac:dyDescent="0.25">
      <c r="C9" t="s">
        <v>207</v>
      </c>
      <c r="D9">
        <v>4</v>
      </c>
    </row>
    <row r="10" spans="1:16" x14ac:dyDescent="0.25">
      <c r="C10" t="s">
        <v>78</v>
      </c>
      <c r="D10">
        <v>3</v>
      </c>
    </row>
    <row r="11" spans="1:16" s="1" customFormat="1" x14ac:dyDescent="0.25">
      <c r="B11" s="1" t="s">
        <v>218</v>
      </c>
    </row>
    <row r="12" spans="1:16" x14ac:dyDescent="0.25">
      <c r="A12" t="s">
        <v>392</v>
      </c>
      <c r="B12" t="s">
        <v>217</v>
      </c>
    </row>
    <row r="13" spans="1:16" x14ac:dyDescent="0.25">
      <c r="A13" t="s">
        <v>392</v>
      </c>
      <c r="B13" t="s">
        <v>208</v>
      </c>
    </row>
    <row r="14" spans="1:16" x14ac:dyDescent="0.25">
      <c r="A14" t="s">
        <v>392</v>
      </c>
      <c r="B14" t="s">
        <v>209</v>
      </c>
    </row>
    <row r="15" spans="1:16" x14ac:dyDescent="0.25">
      <c r="A15" t="s">
        <v>392</v>
      </c>
      <c r="B15" t="s">
        <v>210</v>
      </c>
    </row>
    <row r="16" spans="1:16" s="4" customFormat="1" x14ac:dyDescent="0.25">
      <c r="A16" s="4" t="s">
        <v>392</v>
      </c>
      <c r="B16" s="4" t="s">
        <v>211</v>
      </c>
      <c r="P16" s="4" t="s">
        <v>333</v>
      </c>
    </row>
    <row r="17" spans="1:2" x14ac:dyDescent="0.25">
      <c r="A17" t="s">
        <v>392</v>
      </c>
      <c r="B17" t="s">
        <v>215</v>
      </c>
    </row>
    <row r="18" spans="1:2" x14ac:dyDescent="0.25">
      <c r="A18" t="s">
        <v>392</v>
      </c>
      <c r="B18" t="s">
        <v>334</v>
      </c>
    </row>
    <row r="19" spans="1:2" x14ac:dyDescent="0.25">
      <c r="A19" t="s">
        <v>392</v>
      </c>
      <c r="B19" t="s">
        <v>335</v>
      </c>
    </row>
    <row r="20" spans="1:2" x14ac:dyDescent="0.25">
      <c r="A20" t="s">
        <v>392</v>
      </c>
      <c r="B20" t="s">
        <v>216</v>
      </c>
    </row>
    <row r="21" spans="1:2" x14ac:dyDescent="0.25">
      <c r="A21" t="s">
        <v>392</v>
      </c>
      <c r="B21" t="s">
        <v>212</v>
      </c>
    </row>
    <row r="22" spans="1:2" x14ac:dyDescent="0.25">
      <c r="A22" t="s">
        <v>392</v>
      </c>
      <c r="B22" t="s">
        <v>213</v>
      </c>
    </row>
    <row r="23" spans="1:2" x14ac:dyDescent="0.25">
      <c r="A23" t="s">
        <v>392</v>
      </c>
      <c r="B23" t="s">
        <v>214</v>
      </c>
    </row>
    <row r="24" spans="1:2" x14ac:dyDescent="0.25">
      <c r="A24" t="s">
        <v>392</v>
      </c>
      <c r="B24" t="s">
        <v>338</v>
      </c>
    </row>
    <row r="25" spans="1:2" s="1" customFormat="1" x14ac:dyDescent="0.25">
      <c r="B25" s="1" t="s">
        <v>219</v>
      </c>
    </row>
    <row r="26" spans="1:2" x14ac:dyDescent="0.25">
      <c r="A26" t="s">
        <v>392</v>
      </c>
      <c r="B26" t="s">
        <v>220</v>
      </c>
    </row>
    <row r="27" spans="1:2" x14ac:dyDescent="0.25">
      <c r="A27" t="s">
        <v>392</v>
      </c>
      <c r="B27" t="s">
        <v>221</v>
      </c>
    </row>
    <row r="28" spans="1:2" x14ac:dyDescent="0.25">
      <c r="A28" t="s">
        <v>392</v>
      </c>
      <c r="B28" t="s">
        <v>222</v>
      </c>
    </row>
    <row r="29" spans="1:2" x14ac:dyDescent="0.25">
      <c r="A29" t="s">
        <v>392</v>
      </c>
      <c r="B29" t="s">
        <v>225</v>
      </c>
    </row>
    <row r="30" spans="1:2" x14ac:dyDescent="0.25">
      <c r="A30" t="s">
        <v>392</v>
      </c>
      <c r="B30" t="s">
        <v>336</v>
      </c>
    </row>
    <row r="31" spans="1:2" x14ac:dyDescent="0.25">
      <c r="A31" t="s">
        <v>392</v>
      </c>
      <c r="B31" t="s">
        <v>223</v>
      </c>
    </row>
    <row r="32" spans="1:2" x14ac:dyDescent="0.25">
      <c r="A32" t="s">
        <v>392</v>
      </c>
      <c r="B32" t="s">
        <v>337</v>
      </c>
    </row>
    <row r="33" spans="1:4" x14ac:dyDescent="0.25">
      <c r="A33" t="s">
        <v>392</v>
      </c>
      <c r="B33" t="s">
        <v>224</v>
      </c>
    </row>
    <row r="34" spans="1:4" s="1" customFormat="1" x14ac:dyDescent="0.25">
      <c r="B34" s="1" t="s">
        <v>226</v>
      </c>
    </row>
    <row r="35" spans="1:4" x14ac:dyDescent="0.25">
      <c r="A35" t="s">
        <v>392</v>
      </c>
      <c r="B35" t="s">
        <v>227</v>
      </c>
    </row>
    <row r="36" spans="1:4" x14ac:dyDescent="0.25">
      <c r="A36" t="s">
        <v>392</v>
      </c>
      <c r="B36" t="s">
        <v>228</v>
      </c>
    </row>
    <row r="37" spans="1:4" x14ac:dyDescent="0.25">
      <c r="A37" t="s">
        <v>392</v>
      </c>
      <c r="B37" t="s">
        <v>344</v>
      </c>
    </row>
    <row r="38" spans="1:4" x14ac:dyDescent="0.25">
      <c r="A38" t="s">
        <v>392</v>
      </c>
      <c r="B38" t="s">
        <v>229</v>
      </c>
    </row>
    <row r="39" spans="1:4" x14ac:dyDescent="0.25">
      <c r="A39" t="s">
        <v>392</v>
      </c>
      <c r="B39" t="s">
        <v>349</v>
      </c>
    </row>
    <row r="40" spans="1:4" s="1" customFormat="1" x14ac:dyDescent="0.25">
      <c r="B40" s="1" t="s">
        <v>230</v>
      </c>
    </row>
    <row r="41" spans="1:4" x14ac:dyDescent="0.25">
      <c r="A41" t="s">
        <v>392</v>
      </c>
      <c r="B41" t="s">
        <v>204</v>
      </c>
    </row>
    <row r="42" spans="1:4" x14ac:dyDescent="0.25">
      <c r="A42" t="s">
        <v>392</v>
      </c>
      <c r="C42" t="s">
        <v>205</v>
      </c>
      <c r="D42" s="3">
        <f ca="1">+TODAY()+3</f>
        <v>45975</v>
      </c>
    </row>
    <row r="43" spans="1:4" x14ac:dyDescent="0.25">
      <c r="A43" t="s">
        <v>392</v>
      </c>
      <c r="C43" t="s">
        <v>206</v>
      </c>
      <c r="D43" s="3">
        <f ca="1">+D42+2</f>
        <v>45977</v>
      </c>
    </row>
    <row r="44" spans="1:4" x14ac:dyDescent="0.25">
      <c r="A44" t="s">
        <v>392</v>
      </c>
      <c r="C44" t="s">
        <v>207</v>
      </c>
      <c r="D44">
        <v>4</v>
      </c>
    </row>
    <row r="45" spans="1:4" x14ac:dyDescent="0.25">
      <c r="A45" t="s">
        <v>392</v>
      </c>
      <c r="C45" t="s">
        <v>78</v>
      </c>
      <c r="D45">
        <v>2</v>
      </c>
    </row>
    <row r="46" spans="1:4" s="1" customFormat="1" x14ac:dyDescent="0.25">
      <c r="B46" s="1" t="s">
        <v>218</v>
      </c>
    </row>
    <row r="47" spans="1:4" x14ac:dyDescent="0.25">
      <c r="A47" t="s">
        <v>392</v>
      </c>
      <c r="B47" t="s">
        <v>231</v>
      </c>
    </row>
    <row r="48" spans="1:4" x14ac:dyDescent="0.25">
      <c r="A48" t="s">
        <v>392</v>
      </c>
      <c r="B48" t="s">
        <v>345</v>
      </c>
    </row>
    <row r="49" spans="1:4" x14ac:dyDescent="0.25">
      <c r="A49" t="s">
        <v>392</v>
      </c>
      <c r="B49" t="s">
        <v>346</v>
      </c>
    </row>
    <row r="50" spans="1:4" x14ac:dyDescent="0.25">
      <c r="A50" t="s">
        <v>392</v>
      </c>
      <c r="B50" t="s">
        <v>347</v>
      </c>
    </row>
    <row r="51" spans="1:4" x14ac:dyDescent="0.25">
      <c r="A51" t="s">
        <v>392</v>
      </c>
      <c r="B51" t="s">
        <v>354</v>
      </c>
    </row>
    <row r="52" spans="1:4" x14ac:dyDescent="0.25">
      <c r="A52" t="s">
        <v>392</v>
      </c>
      <c r="B52" t="s">
        <v>232</v>
      </c>
    </row>
    <row r="53" spans="1:4" s="1" customFormat="1" x14ac:dyDescent="0.25">
      <c r="B53" s="1" t="s">
        <v>233</v>
      </c>
    </row>
    <row r="54" spans="1:4" x14ac:dyDescent="0.25">
      <c r="A54" t="s">
        <v>392</v>
      </c>
      <c r="B54" t="s">
        <v>234</v>
      </c>
    </row>
    <row r="55" spans="1:4" x14ac:dyDescent="0.25">
      <c r="A55" t="s">
        <v>392</v>
      </c>
      <c r="B55" t="s">
        <v>235</v>
      </c>
    </row>
    <row r="56" spans="1:4" x14ac:dyDescent="0.25">
      <c r="A56" t="s">
        <v>392</v>
      </c>
      <c r="B56" t="s">
        <v>237</v>
      </c>
    </row>
    <row r="57" spans="1:4" x14ac:dyDescent="0.25">
      <c r="A57" t="s">
        <v>392</v>
      </c>
      <c r="B57" t="s">
        <v>236</v>
      </c>
    </row>
    <row r="58" spans="1:4" x14ac:dyDescent="0.25">
      <c r="A58" t="s">
        <v>392</v>
      </c>
      <c r="B58" t="s">
        <v>348</v>
      </c>
    </row>
    <row r="59" spans="1:4" x14ac:dyDescent="0.25">
      <c r="A59" t="s">
        <v>392</v>
      </c>
      <c r="B59" t="s">
        <v>238</v>
      </c>
    </row>
    <row r="60" spans="1:4" s="1" customFormat="1" x14ac:dyDescent="0.25">
      <c r="B60" s="1" t="s">
        <v>230</v>
      </c>
    </row>
    <row r="61" spans="1:4" x14ac:dyDescent="0.25">
      <c r="A61" t="s">
        <v>392</v>
      </c>
      <c r="B61" t="s">
        <v>204</v>
      </c>
    </row>
    <row r="62" spans="1:4" x14ac:dyDescent="0.25">
      <c r="A62" t="s">
        <v>392</v>
      </c>
      <c r="C62" t="s">
        <v>205</v>
      </c>
      <c r="D62" s="3">
        <f ca="1">+TODAY()+6</f>
        <v>45978</v>
      </c>
    </row>
    <row r="63" spans="1:4" x14ac:dyDescent="0.25">
      <c r="A63" t="s">
        <v>392</v>
      </c>
      <c r="C63" t="s">
        <v>206</v>
      </c>
      <c r="D63" s="3">
        <f ca="1">+D62+14</f>
        <v>45992</v>
      </c>
    </row>
    <row r="64" spans="1:4" x14ac:dyDescent="0.25">
      <c r="A64" t="s">
        <v>392</v>
      </c>
      <c r="C64" t="s">
        <v>207</v>
      </c>
      <c r="D64">
        <v>4</v>
      </c>
    </row>
    <row r="65" spans="1:4" x14ac:dyDescent="0.25">
      <c r="A65" t="s">
        <v>392</v>
      </c>
      <c r="C65" t="s">
        <v>78</v>
      </c>
      <c r="D65">
        <v>2</v>
      </c>
    </row>
    <row r="66" spans="1:4" s="1" customFormat="1" x14ac:dyDescent="0.25">
      <c r="B66" s="1" t="s">
        <v>218</v>
      </c>
    </row>
    <row r="67" spans="1:4" x14ac:dyDescent="0.25">
      <c r="A67" t="s">
        <v>392</v>
      </c>
      <c r="B67" t="s">
        <v>350</v>
      </c>
    </row>
    <row r="68" spans="1:4" x14ac:dyDescent="0.25">
      <c r="A68" t="s">
        <v>392</v>
      </c>
      <c r="B68" t="s">
        <v>351</v>
      </c>
    </row>
    <row r="69" spans="1:4" x14ac:dyDescent="0.25">
      <c r="A69" t="s">
        <v>392</v>
      </c>
      <c r="B69" t="s">
        <v>352</v>
      </c>
    </row>
    <row r="70" spans="1:4" x14ac:dyDescent="0.25">
      <c r="A70" t="s">
        <v>392</v>
      </c>
      <c r="B70" t="s">
        <v>353</v>
      </c>
    </row>
    <row r="71" spans="1:4" x14ac:dyDescent="0.25">
      <c r="A71" t="s">
        <v>392</v>
      </c>
      <c r="B71" t="s">
        <v>386</v>
      </c>
    </row>
    <row r="72" spans="1:4" s="1" customFormat="1" x14ac:dyDescent="0.25">
      <c r="B72" s="1" t="s">
        <v>233</v>
      </c>
    </row>
    <row r="73" spans="1:4" x14ac:dyDescent="0.25">
      <c r="A73" t="s">
        <v>392</v>
      </c>
      <c r="B73" t="s">
        <v>355</v>
      </c>
    </row>
    <row r="74" spans="1:4" s="1" customFormat="1" x14ac:dyDescent="0.25">
      <c r="B74" s="1" t="s">
        <v>230</v>
      </c>
    </row>
    <row r="75" spans="1:4" x14ac:dyDescent="0.25">
      <c r="A75" t="s">
        <v>392</v>
      </c>
      <c r="B75" t="s">
        <v>204</v>
      </c>
    </row>
    <row r="76" spans="1:4" x14ac:dyDescent="0.25">
      <c r="A76" s="1" t="s">
        <v>392</v>
      </c>
      <c r="C76" t="s">
        <v>205</v>
      </c>
      <c r="D76" s="3">
        <f ca="1">+TODAY()+7</f>
        <v>45979</v>
      </c>
    </row>
    <row r="77" spans="1:4" x14ac:dyDescent="0.25">
      <c r="A77" t="s">
        <v>392</v>
      </c>
      <c r="C77" t="s">
        <v>206</v>
      </c>
      <c r="D77" s="3">
        <f ca="1">+D76+2</f>
        <v>45981</v>
      </c>
    </row>
    <row r="78" spans="1:4" x14ac:dyDescent="0.25">
      <c r="A78" t="s">
        <v>392</v>
      </c>
      <c r="C78" t="s">
        <v>207</v>
      </c>
      <c r="D78">
        <v>1</v>
      </c>
    </row>
    <row r="79" spans="1:4" x14ac:dyDescent="0.25">
      <c r="A79" t="s">
        <v>392</v>
      </c>
      <c r="C79" t="s">
        <v>78</v>
      </c>
      <c r="D79">
        <v>1</v>
      </c>
    </row>
    <row r="80" spans="1:4" s="1" customFormat="1" x14ac:dyDescent="0.25">
      <c r="B80" s="1" t="s">
        <v>218</v>
      </c>
    </row>
    <row r="81" spans="1:16" x14ac:dyDescent="0.25">
      <c r="A81" t="s">
        <v>392</v>
      </c>
      <c r="B81" t="s">
        <v>359</v>
      </c>
    </row>
    <row r="82" spans="1:16" x14ac:dyDescent="0.25">
      <c r="A82" t="s">
        <v>392</v>
      </c>
      <c r="B82" t="s">
        <v>360</v>
      </c>
    </row>
    <row r="83" spans="1:16" x14ac:dyDescent="0.25">
      <c r="A83" t="s">
        <v>392</v>
      </c>
      <c r="B83" t="s">
        <v>361</v>
      </c>
    </row>
    <row r="84" spans="1:16" x14ac:dyDescent="0.25">
      <c r="A84" t="s">
        <v>392</v>
      </c>
      <c r="B84" t="s">
        <v>362</v>
      </c>
    </row>
    <row r="85" spans="1:16" x14ac:dyDescent="0.25">
      <c r="A85" t="s">
        <v>392</v>
      </c>
      <c r="B85" t="s">
        <v>232</v>
      </c>
    </row>
    <row r="86" spans="1:16" s="1" customFormat="1" x14ac:dyDescent="0.25">
      <c r="B86" s="1" t="s">
        <v>233</v>
      </c>
    </row>
    <row r="87" spans="1:16" x14ac:dyDescent="0.25">
      <c r="A87" t="s">
        <v>392</v>
      </c>
      <c r="B87" t="s">
        <v>355</v>
      </c>
    </row>
    <row r="88" spans="1:16" s="1" customFormat="1" x14ac:dyDescent="0.25">
      <c r="B88" s="1" t="s">
        <v>240</v>
      </c>
    </row>
    <row r="89" spans="1:16" x14ac:dyDescent="0.25">
      <c r="A89" t="s">
        <v>392</v>
      </c>
      <c r="B89" t="s">
        <v>239</v>
      </c>
    </row>
    <row r="90" spans="1:16" x14ac:dyDescent="0.25">
      <c r="A90" t="s">
        <v>392</v>
      </c>
      <c r="B90" t="s">
        <v>241</v>
      </c>
      <c r="G90" t="s">
        <v>329</v>
      </c>
      <c r="I90">
        <v>123</v>
      </c>
    </row>
    <row r="91" spans="1:16" x14ac:dyDescent="0.25">
      <c r="A91" t="s">
        <v>392</v>
      </c>
      <c r="B91" t="s">
        <v>324</v>
      </c>
    </row>
    <row r="92" spans="1:16" x14ac:dyDescent="0.25">
      <c r="A92" t="s">
        <v>392</v>
      </c>
      <c r="B92" t="s">
        <v>325</v>
      </c>
    </row>
    <row r="93" spans="1:16" x14ac:dyDescent="0.25">
      <c r="A93" t="s">
        <v>392</v>
      </c>
      <c r="B93" t="s">
        <v>326</v>
      </c>
    </row>
    <row r="94" spans="1:16" s="4" customFormat="1" x14ac:dyDescent="0.25">
      <c r="A94" s="4" t="s">
        <v>392</v>
      </c>
      <c r="B94" s="4" t="s">
        <v>242</v>
      </c>
      <c r="P94" s="4" t="s">
        <v>333</v>
      </c>
    </row>
    <row r="95" spans="1:16" s="4" customFormat="1" x14ac:dyDescent="0.25">
      <c r="A95" s="4" t="s">
        <v>392</v>
      </c>
      <c r="B95" s="4" t="s">
        <v>243</v>
      </c>
      <c r="P95" s="4" t="s">
        <v>333</v>
      </c>
    </row>
    <row r="96" spans="1:16" x14ac:dyDescent="0.25">
      <c r="A96" t="s">
        <v>392</v>
      </c>
      <c r="B96" t="s">
        <v>244</v>
      </c>
    </row>
    <row r="97" spans="1:2" s="1" customFormat="1" x14ac:dyDescent="0.25">
      <c r="B97" s="1" t="s">
        <v>245</v>
      </c>
    </row>
    <row r="98" spans="1:2" x14ac:dyDescent="0.25">
      <c r="A98" t="s">
        <v>392</v>
      </c>
      <c r="B98" t="s">
        <v>246</v>
      </c>
    </row>
    <row r="99" spans="1:2" x14ac:dyDescent="0.25">
      <c r="A99" t="s">
        <v>392</v>
      </c>
      <c r="B99" t="s">
        <v>363</v>
      </c>
    </row>
    <row r="100" spans="1:2" x14ac:dyDescent="0.25">
      <c r="A100" t="s">
        <v>392</v>
      </c>
      <c r="B100" t="s">
        <v>364</v>
      </c>
    </row>
    <row r="101" spans="1:2" x14ac:dyDescent="0.25">
      <c r="A101" t="s">
        <v>392</v>
      </c>
      <c r="B101" t="s">
        <v>247</v>
      </c>
    </row>
    <row r="102" spans="1:2" s="1" customFormat="1" x14ac:dyDescent="0.25">
      <c r="B102" s="1" t="s">
        <v>248</v>
      </c>
    </row>
    <row r="103" spans="1:2" x14ac:dyDescent="0.25">
      <c r="A103" t="s">
        <v>392</v>
      </c>
      <c r="B103" t="s">
        <v>249</v>
      </c>
    </row>
    <row r="104" spans="1:2" x14ac:dyDescent="0.25">
      <c r="A104" t="s">
        <v>392</v>
      </c>
      <c r="B104" t="s">
        <v>250</v>
      </c>
    </row>
    <row r="105" spans="1:2" x14ac:dyDescent="0.25">
      <c r="A105" t="s">
        <v>392</v>
      </c>
      <c r="B105" t="s">
        <v>356</v>
      </c>
    </row>
    <row r="106" spans="1:2" s="1" customFormat="1" x14ac:dyDescent="0.25">
      <c r="B106" s="1" t="s">
        <v>251</v>
      </c>
    </row>
    <row r="107" spans="1:2" x14ac:dyDescent="0.25">
      <c r="A107" t="s">
        <v>392</v>
      </c>
      <c r="B107" t="s">
        <v>252</v>
      </c>
    </row>
    <row r="108" spans="1:2" x14ac:dyDescent="0.25">
      <c r="A108" t="s">
        <v>392</v>
      </c>
      <c r="B108" t="s">
        <v>253</v>
      </c>
    </row>
    <row r="109" spans="1:2" x14ac:dyDescent="0.25">
      <c r="A109" t="s">
        <v>392</v>
      </c>
      <c r="B109" t="s">
        <v>254</v>
      </c>
    </row>
    <row r="110" spans="1:2" x14ac:dyDescent="0.25">
      <c r="A110" t="s">
        <v>392</v>
      </c>
      <c r="B110" t="s">
        <v>255</v>
      </c>
    </row>
    <row r="111" spans="1:2" x14ac:dyDescent="0.25">
      <c r="A111" t="s">
        <v>392</v>
      </c>
      <c r="B111" t="s">
        <v>256</v>
      </c>
    </row>
    <row r="112" spans="1:2" x14ac:dyDescent="0.25">
      <c r="A112" t="s">
        <v>392</v>
      </c>
      <c r="B112" t="s">
        <v>257</v>
      </c>
    </row>
    <row r="113" spans="1:2" x14ac:dyDescent="0.25">
      <c r="A113" t="s">
        <v>392</v>
      </c>
      <c r="B113" t="s">
        <v>258</v>
      </c>
    </row>
    <row r="114" spans="1:2" x14ac:dyDescent="0.25">
      <c r="A114" t="s">
        <v>392</v>
      </c>
      <c r="B114" t="s">
        <v>357</v>
      </c>
    </row>
    <row r="115" spans="1:2" x14ac:dyDescent="0.25">
      <c r="A115" t="s">
        <v>392</v>
      </c>
      <c r="B115" t="s">
        <v>259</v>
      </c>
    </row>
    <row r="116" spans="1:2" x14ac:dyDescent="0.25">
      <c r="A116" t="s">
        <v>392</v>
      </c>
      <c r="B116" t="s">
        <v>260</v>
      </c>
    </row>
    <row r="117" spans="1:2" x14ac:dyDescent="0.25">
      <c r="A117" t="s">
        <v>392</v>
      </c>
      <c r="B117" t="s">
        <v>367</v>
      </c>
    </row>
    <row r="118" spans="1:2" s="1" customFormat="1" x14ac:dyDescent="0.25">
      <c r="B118" s="1" t="s">
        <v>387</v>
      </c>
    </row>
    <row r="119" spans="1:2" x14ac:dyDescent="0.25">
      <c r="A119" t="s">
        <v>392</v>
      </c>
      <c r="B119" t="s">
        <v>388</v>
      </c>
    </row>
    <row r="120" spans="1:2" x14ac:dyDescent="0.25">
      <c r="A120" t="s">
        <v>392</v>
      </c>
      <c r="B120" t="s">
        <v>389</v>
      </c>
    </row>
    <row r="121" spans="1:2" x14ac:dyDescent="0.25">
      <c r="A121" t="s">
        <v>392</v>
      </c>
      <c r="B121" t="s">
        <v>390</v>
      </c>
    </row>
    <row r="122" spans="1:2" x14ac:dyDescent="0.25">
      <c r="A122" t="s">
        <v>392</v>
      </c>
      <c r="B122" t="s">
        <v>391</v>
      </c>
    </row>
    <row r="123" spans="1:2" s="1" customFormat="1" x14ac:dyDescent="0.25">
      <c r="B123" s="1" t="s">
        <v>251</v>
      </c>
    </row>
    <row r="124" spans="1:2" x14ac:dyDescent="0.25">
      <c r="A124" t="s">
        <v>392</v>
      </c>
      <c r="B124" t="s">
        <v>358</v>
      </c>
    </row>
    <row r="125" spans="1:2" x14ac:dyDescent="0.25">
      <c r="A125" t="s">
        <v>392</v>
      </c>
      <c r="B125" t="s">
        <v>365</v>
      </c>
    </row>
    <row r="126" spans="1:2" x14ac:dyDescent="0.25">
      <c r="A126" t="s">
        <v>392</v>
      </c>
      <c r="B126" t="s">
        <v>368</v>
      </c>
    </row>
    <row r="127" spans="1:2" x14ac:dyDescent="0.25">
      <c r="A127" t="s">
        <v>392</v>
      </c>
      <c r="B127" t="s">
        <v>366</v>
      </c>
    </row>
    <row r="128" spans="1:2" x14ac:dyDescent="0.25">
      <c r="A128" t="s">
        <v>392</v>
      </c>
      <c r="B128" t="s">
        <v>369</v>
      </c>
    </row>
    <row r="129" spans="1:3" x14ac:dyDescent="0.25">
      <c r="A129" t="s">
        <v>392</v>
      </c>
      <c r="B129" t="s">
        <v>370</v>
      </c>
    </row>
    <row r="130" spans="1:3" x14ac:dyDescent="0.25">
      <c r="A130" t="s">
        <v>392</v>
      </c>
      <c r="B130" t="s">
        <v>260</v>
      </c>
    </row>
    <row r="131" spans="1:3" x14ac:dyDescent="0.25">
      <c r="A131" t="s">
        <v>392</v>
      </c>
      <c r="B131" t="s">
        <v>367</v>
      </c>
    </row>
    <row r="132" spans="1:3" s="1" customFormat="1" x14ac:dyDescent="0.25">
      <c r="B132" s="1" t="s">
        <v>251</v>
      </c>
    </row>
    <row r="133" spans="1:3" x14ac:dyDescent="0.25">
      <c r="A133" t="s">
        <v>392</v>
      </c>
      <c r="B133" t="s">
        <v>371</v>
      </c>
    </row>
    <row r="134" spans="1:3" s="5" customFormat="1" x14ac:dyDescent="0.25">
      <c r="A134" s="5" t="s">
        <v>392</v>
      </c>
      <c r="B134" s="5" t="s">
        <v>261</v>
      </c>
    </row>
    <row r="135" spans="1:3" s="5" customFormat="1" x14ac:dyDescent="0.25">
      <c r="A135" s="5" t="s">
        <v>392</v>
      </c>
      <c r="B135" s="5" t="s">
        <v>262</v>
      </c>
    </row>
    <row r="136" spans="1:3" s="1" customFormat="1" x14ac:dyDescent="0.25">
      <c r="B136" s="1" t="s">
        <v>267</v>
      </c>
    </row>
    <row r="137" spans="1:3" x14ac:dyDescent="0.25">
      <c r="A137" t="s">
        <v>392</v>
      </c>
      <c r="B137" t="s">
        <v>287</v>
      </c>
    </row>
    <row r="138" spans="1:3" x14ac:dyDescent="0.25">
      <c r="A138" t="s">
        <v>392</v>
      </c>
      <c r="B138" t="s">
        <v>270</v>
      </c>
    </row>
    <row r="139" spans="1:3" x14ac:dyDescent="0.25">
      <c r="A139" t="s">
        <v>392</v>
      </c>
      <c r="B139" t="s">
        <v>268</v>
      </c>
    </row>
    <row r="140" spans="1:3" x14ac:dyDescent="0.25">
      <c r="A140" t="s">
        <v>392</v>
      </c>
      <c r="B140" t="s">
        <v>269</v>
      </c>
    </row>
    <row r="141" spans="1:3" x14ac:dyDescent="0.25">
      <c r="A141" t="s">
        <v>392</v>
      </c>
      <c r="B141" t="s">
        <v>372</v>
      </c>
    </row>
    <row r="142" spans="1:3" x14ac:dyDescent="0.25">
      <c r="A142" t="s">
        <v>392</v>
      </c>
      <c r="C142" s="6">
        <f ca="1">+TODAY()+3</f>
        <v>45975</v>
      </c>
    </row>
    <row r="143" spans="1:3" x14ac:dyDescent="0.25">
      <c r="A143" t="s">
        <v>392</v>
      </c>
      <c r="C143" s="6">
        <f ca="1">+C142+25</f>
        <v>46000</v>
      </c>
    </row>
    <row r="144" spans="1:3" x14ac:dyDescent="0.25">
      <c r="A144" t="s">
        <v>392</v>
      </c>
      <c r="B144" t="s">
        <v>285</v>
      </c>
    </row>
    <row r="145" spans="1:16" x14ac:dyDescent="0.25">
      <c r="A145" t="s">
        <v>392</v>
      </c>
      <c r="B145" t="s">
        <v>272</v>
      </c>
    </row>
    <row r="146" spans="1:16" x14ac:dyDescent="0.25">
      <c r="A146" t="s">
        <v>392</v>
      </c>
      <c r="C146" t="s">
        <v>273</v>
      </c>
    </row>
    <row r="147" spans="1:16" x14ac:dyDescent="0.25">
      <c r="A147" t="s">
        <v>392</v>
      </c>
      <c r="C147" t="s">
        <v>274</v>
      </c>
    </row>
    <row r="148" spans="1:16" x14ac:dyDescent="0.25">
      <c r="A148" t="s">
        <v>392</v>
      </c>
      <c r="C148" t="s">
        <v>275</v>
      </c>
    </row>
    <row r="149" spans="1:16" x14ac:dyDescent="0.25">
      <c r="A149" t="s">
        <v>392</v>
      </c>
      <c r="C149" t="s">
        <v>276</v>
      </c>
    </row>
    <row r="150" spans="1:16" x14ac:dyDescent="0.25">
      <c r="A150" t="s">
        <v>392</v>
      </c>
      <c r="B150" t="s">
        <v>271</v>
      </c>
    </row>
    <row r="151" spans="1:16" x14ac:dyDescent="0.25">
      <c r="A151" t="s">
        <v>392</v>
      </c>
      <c r="B151" t="s">
        <v>373</v>
      </c>
    </row>
    <row r="152" spans="1:16" x14ac:dyDescent="0.25">
      <c r="A152" t="s">
        <v>392</v>
      </c>
      <c r="B152" t="s">
        <v>372</v>
      </c>
    </row>
    <row r="153" spans="1:16" x14ac:dyDescent="0.25">
      <c r="A153" t="s">
        <v>392</v>
      </c>
      <c r="C153" s="6">
        <f ca="1">+TODAY()+14</f>
        <v>45986</v>
      </c>
    </row>
    <row r="154" spans="1:16" x14ac:dyDescent="0.25">
      <c r="A154" t="s">
        <v>392</v>
      </c>
      <c r="C154" s="6">
        <f ca="1">+C153+14</f>
        <v>46000</v>
      </c>
    </row>
    <row r="155" spans="1:16" x14ac:dyDescent="0.25">
      <c r="A155" t="s">
        <v>392</v>
      </c>
      <c r="B155" t="s">
        <v>374</v>
      </c>
    </row>
    <row r="156" spans="1:16" x14ac:dyDescent="0.25">
      <c r="A156" t="s">
        <v>392</v>
      </c>
      <c r="B156" t="s">
        <v>277</v>
      </c>
    </row>
    <row r="157" spans="1:16" x14ac:dyDescent="0.25">
      <c r="A157" t="s">
        <v>392</v>
      </c>
      <c r="B157" t="s">
        <v>278</v>
      </c>
    </row>
    <row r="158" spans="1:16" s="4" customFormat="1" x14ac:dyDescent="0.25">
      <c r="A158" s="4" t="s">
        <v>392</v>
      </c>
      <c r="B158" s="4" t="s">
        <v>279</v>
      </c>
      <c r="P158" s="4" t="s">
        <v>333</v>
      </c>
    </row>
    <row r="159" spans="1:16" x14ac:dyDescent="0.25">
      <c r="A159" t="s">
        <v>392</v>
      </c>
      <c r="B159" t="s">
        <v>338</v>
      </c>
    </row>
    <row r="160" spans="1:16" x14ac:dyDescent="0.25">
      <c r="A160" t="s">
        <v>392</v>
      </c>
      <c r="B160" t="s">
        <v>280</v>
      </c>
    </row>
    <row r="161" spans="1:3" x14ac:dyDescent="0.25">
      <c r="A161" t="s">
        <v>392</v>
      </c>
      <c r="B161" t="s">
        <v>375</v>
      </c>
    </row>
    <row r="162" spans="1:3" x14ac:dyDescent="0.25">
      <c r="A162" t="s">
        <v>392</v>
      </c>
      <c r="B162" t="s">
        <v>376</v>
      </c>
    </row>
    <row r="163" spans="1:3" x14ac:dyDescent="0.25">
      <c r="A163" t="s">
        <v>392</v>
      </c>
      <c r="B163" t="s">
        <v>281</v>
      </c>
    </row>
    <row r="164" spans="1:3" x14ac:dyDescent="0.25">
      <c r="A164" t="s">
        <v>392</v>
      </c>
      <c r="B164" t="s">
        <v>282</v>
      </c>
    </row>
    <row r="165" spans="1:3" x14ac:dyDescent="0.25">
      <c r="A165" t="s">
        <v>392</v>
      </c>
      <c r="B165" t="s">
        <v>283</v>
      </c>
    </row>
    <row r="166" spans="1:3" x14ac:dyDescent="0.25">
      <c r="A166" t="s">
        <v>392</v>
      </c>
      <c r="B166" t="s">
        <v>284</v>
      </c>
    </row>
    <row r="167" spans="1:3" x14ac:dyDescent="0.25">
      <c r="A167" t="s">
        <v>392</v>
      </c>
      <c r="B167" t="s">
        <v>282</v>
      </c>
    </row>
    <row r="168" spans="1:3" s="1" customFormat="1" x14ac:dyDescent="0.25">
      <c r="B168" s="1" t="s">
        <v>286</v>
      </c>
    </row>
    <row r="169" spans="1:3" x14ac:dyDescent="0.25">
      <c r="A169" t="s">
        <v>392</v>
      </c>
      <c r="B169" t="s">
        <v>288</v>
      </c>
    </row>
    <row r="170" spans="1:3" x14ac:dyDescent="0.25">
      <c r="A170" t="s">
        <v>392</v>
      </c>
      <c r="B170" t="s">
        <v>270</v>
      </c>
    </row>
    <row r="171" spans="1:3" x14ac:dyDescent="0.25">
      <c r="A171" t="s">
        <v>392</v>
      </c>
      <c r="B171" t="s">
        <v>269</v>
      </c>
    </row>
    <row r="172" spans="1:3" x14ac:dyDescent="0.25">
      <c r="A172" t="s">
        <v>392</v>
      </c>
      <c r="B172" t="s">
        <v>289</v>
      </c>
    </row>
    <row r="173" spans="1:3" x14ac:dyDescent="0.25">
      <c r="A173" t="s">
        <v>392</v>
      </c>
      <c r="B173" t="s">
        <v>372</v>
      </c>
    </row>
    <row r="174" spans="1:3" x14ac:dyDescent="0.25">
      <c r="C174" s="6">
        <f ca="1">+TODAY()+3</f>
        <v>45975</v>
      </c>
    </row>
    <row r="175" spans="1:3" x14ac:dyDescent="0.25">
      <c r="C175" s="6">
        <f ca="1">+C174+14</f>
        <v>45989</v>
      </c>
    </row>
    <row r="176" spans="1:3" x14ac:dyDescent="0.25">
      <c r="A176" t="s">
        <v>392</v>
      </c>
      <c r="B176" t="s">
        <v>285</v>
      </c>
    </row>
    <row r="177" spans="1:2" x14ac:dyDescent="0.25">
      <c r="A177" t="s">
        <v>392</v>
      </c>
      <c r="B177" t="s">
        <v>290</v>
      </c>
    </row>
    <row r="178" spans="1:2" x14ac:dyDescent="0.25">
      <c r="A178" t="s">
        <v>392</v>
      </c>
      <c r="B178" t="s">
        <v>291</v>
      </c>
    </row>
    <row r="179" spans="1:2" x14ac:dyDescent="0.25">
      <c r="A179" t="s">
        <v>392</v>
      </c>
      <c r="B179" t="s">
        <v>294</v>
      </c>
    </row>
    <row r="180" spans="1:2" x14ac:dyDescent="0.25">
      <c r="A180" t="s">
        <v>392</v>
      </c>
      <c r="B180" t="s">
        <v>292</v>
      </c>
    </row>
    <row r="181" spans="1:2" x14ac:dyDescent="0.25">
      <c r="A181" t="s">
        <v>392</v>
      </c>
      <c r="B181" t="s">
        <v>293</v>
      </c>
    </row>
    <row r="182" spans="1:2" x14ac:dyDescent="0.25">
      <c r="A182" t="s">
        <v>392</v>
      </c>
      <c r="B182" t="s">
        <v>377</v>
      </c>
    </row>
    <row r="183" spans="1:2" x14ac:dyDescent="0.25">
      <c r="A183" t="s">
        <v>392</v>
      </c>
      <c r="B183" t="s">
        <v>378</v>
      </c>
    </row>
    <row r="184" spans="1:2" x14ac:dyDescent="0.25">
      <c r="A184" t="s">
        <v>392</v>
      </c>
      <c r="B184" t="s">
        <v>295</v>
      </c>
    </row>
    <row r="185" spans="1:2" s="1" customFormat="1" x14ac:dyDescent="0.25">
      <c r="B185" s="1" t="s">
        <v>263</v>
      </c>
    </row>
    <row r="186" spans="1:2" x14ac:dyDescent="0.25">
      <c r="A186" t="s">
        <v>392</v>
      </c>
      <c r="B186" t="s">
        <v>264</v>
      </c>
    </row>
    <row r="187" spans="1:2" x14ac:dyDescent="0.25">
      <c r="A187" t="s">
        <v>392</v>
      </c>
      <c r="B187" t="s">
        <v>266</v>
      </c>
    </row>
    <row r="188" spans="1:2" x14ac:dyDescent="0.25">
      <c r="A188" t="s">
        <v>392</v>
      </c>
      <c r="B188" t="s">
        <v>300</v>
      </c>
    </row>
    <row r="189" spans="1:2" x14ac:dyDescent="0.25">
      <c r="A189" t="s">
        <v>392</v>
      </c>
      <c r="B189" t="s">
        <v>296</v>
      </c>
    </row>
    <row r="190" spans="1:2" x14ac:dyDescent="0.25">
      <c r="A190" t="s">
        <v>392</v>
      </c>
      <c r="B190" t="s">
        <v>297</v>
      </c>
    </row>
    <row r="191" spans="1:2" x14ac:dyDescent="0.25">
      <c r="A191" t="s">
        <v>392</v>
      </c>
      <c r="B191" t="s">
        <v>298</v>
      </c>
    </row>
    <row r="192" spans="1:2" x14ac:dyDescent="0.25">
      <c r="A192" t="s">
        <v>392</v>
      </c>
      <c r="B192" t="s">
        <v>299</v>
      </c>
    </row>
    <row r="193" spans="1:3" x14ac:dyDescent="0.25">
      <c r="A193" t="s">
        <v>392</v>
      </c>
      <c r="B193" t="s">
        <v>372</v>
      </c>
    </row>
    <row r="194" spans="1:3" x14ac:dyDescent="0.25">
      <c r="A194" t="s">
        <v>392</v>
      </c>
      <c r="C194" s="6">
        <f ca="1">+TODAY()+2</f>
        <v>45974</v>
      </c>
    </row>
    <row r="195" spans="1:3" x14ac:dyDescent="0.25">
      <c r="A195" t="s">
        <v>392</v>
      </c>
      <c r="C195" s="6">
        <f ca="1">+C194+14</f>
        <v>45988</v>
      </c>
    </row>
    <row r="196" spans="1:3" x14ac:dyDescent="0.25">
      <c r="A196" t="s">
        <v>392</v>
      </c>
      <c r="B196" t="s">
        <v>265</v>
      </c>
    </row>
    <row r="197" spans="1:3" x14ac:dyDescent="0.25">
      <c r="A197" t="s">
        <v>392</v>
      </c>
      <c r="B197" t="s">
        <v>301</v>
      </c>
    </row>
    <row r="198" spans="1:3" x14ac:dyDescent="0.25">
      <c r="A198" t="s">
        <v>392</v>
      </c>
      <c r="B198" t="s">
        <v>302</v>
      </c>
    </row>
    <row r="199" spans="1:3" x14ac:dyDescent="0.25">
      <c r="A199" t="s">
        <v>392</v>
      </c>
      <c r="B199" t="s">
        <v>303</v>
      </c>
    </row>
    <row r="200" spans="1:3" x14ac:dyDescent="0.25">
      <c r="A200" t="s">
        <v>392</v>
      </c>
      <c r="B200" t="s">
        <v>379</v>
      </c>
    </row>
    <row r="201" spans="1:3" x14ac:dyDescent="0.25">
      <c r="A201" t="s">
        <v>392</v>
      </c>
      <c r="B201" t="s">
        <v>308</v>
      </c>
    </row>
    <row r="202" spans="1:3" x14ac:dyDescent="0.25">
      <c r="A202" t="s">
        <v>392</v>
      </c>
      <c r="B202" t="s">
        <v>307</v>
      </c>
    </row>
    <row r="203" spans="1:3" x14ac:dyDescent="0.25">
      <c r="A203" t="s">
        <v>392</v>
      </c>
      <c r="B203" t="s">
        <v>304</v>
      </c>
    </row>
    <row r="204" spans="1:3" x14ac:dyDescent="0.25">
      <c r="A204" t="s">
        <v>392</v>
      </c>
      <c r="B204" t="s">
        <v>380</v>
      </c>
    </row>
    <row r="205" spans="1:3" x14ac:dyDescent="0.25">
      <c r="A205" t="s">
        <v>392</v>
      </c>
      <c r="B205" t="s">
        <v>305</v>
      </c>
    </row>
    <row r="206" spans="1:3" x14ac:dyDescent="0.25">
      <c r="A206" t="s">
        <v>392</v>
      </c>
      <c r="B206" t="s">
        <v>306</v>
      </c>
    </row>
    <row r="207" spans="1:3" x14ac:dyDescent="0.25">
      <c r="A207" t="s">
        <v>392</v>
      </c>
      <c r="B207" t="s">
        <v>332</v>
      </c>
    </row>
    <row r="208" spans="1:3" x14ac:dyDescent="0.25">
      <c r="A208" t="s">
        <v>392</v>
      </c>
      <c r="B208" t="s">
        <v>381</v>
      </c>
    </row>
    <row r="209" spans="1:3" x14ac:dyDescent="0.25">
      <c r="A209" t="s">
        <v>392</v>
      </c>
      <c r="B209" t="s">
        <v>385</v>
      </c>
    </row>
    <row r="210" spans="1:3" x14ac:dyDescent="0.25">
      <c r="A210" t="s">
        <v>392</v>
      </c>
      <c r="B210" t="s">
        <v>261</v>
      </c>
    </row>
    <row r="211" spans="1:3" x14ac:dyDescent="0.25">
      <c r="A211" t="s">
        <v>392</v>
      </c>
      <c r="B211" t="s">
        <v>262</v>
      </c>
    </row>
    <row r="212" spans="1:3" s="1" customFormat="1" x14ac:dyDescent="0.25">
      <c r="B212" s="1" t="s">
        <v>382</v>
      </c>
    </row>
    <row r="213" spans="1:3" x14ac:dyDescent="0.25">
      <c r="B213" t="s">
        <v>309</v>
      </c>
    </row>
    <row r="214" spans="1:3" x14ac:dyDescent="0.25">
      <c r="B214" t="s">
        <v>270</v>
      </c>
    </row>
    <row r="215" spans="1:3" x14ac:dyDescent="0.25">
      <c r="B215" t="s">
        <v>268</v>
      </c>
    </row>
    <row r="216" spans="1:3" x14ac:dyDescent="0.25">
      <c r="B216" t="s">
        <v>269</v>
      </c>
    </row>
    <row r="217" spans="1:3" x14ac:dyDescent="0.25">
      <c r="B217" t="s">
        <v>372</v>
      </c>
    </row>
    <row r="218" spans="1:3" x14ac:dyDescent="0.25">
      <c r="C218" s="6">
        <f ca="1">+TODAY()+2</f>
        <v>45974</v>
      </c>
    </row>
    <row r="219" spans="1:3" x14ac:dyDescent="0.25">
      <c r="C219" s="6">
        <f ca="1">+C218+14</f>
        <v>45988</v>
      </c>
    </row>
    <row r="220" spans="1:3" x14ac:dyDescent="0.25">
      <c r="B220" t="s">
        <v>310</v>
      </c>
    </row>
    <row r="221" spans="1:3" x14ac:dyDescent="0.25">
      <c r="B221" t="s">
        <v>285</v>
      </c>
    </row>
    <row r="222" spans="1:3" s="1" customFormat="1" x14ac:dyDescent="0.25">
      <c r="B222" s="1" t="s">
        <v>311</v>
      </c>
    </row>
    <row r="223" spans="1:3" x14ac:dyDescent="0.25">
      <c r="B223" t="s">
        <v>312</v>
      </c>
    </row>
    <row r="224" spans="1:3" x14ac:dyDescent="0.25">
      <c r="B224" t="s">
        <v>313</v>
      </c>
    </row>
    <row r="225" spans="2:9" x14ac:dyDescent="0.25">
      <c r="B225" t="str">
        <f ca="1">+"Hacer la Busqueda para "&amp;TEXT(TODAY(),"dd/mm")&amp;" el dia y mostrar que no dice nada"</f>
        <v>Hacer la Busqueda para 11/11 el dia y mostrar que no dice nada</v>
      </c>
    </row>
    <row r="226" spans="2:9" x14ac:dyDescent="0.25">
      <c r="B226" t="str">
        <f ca="1">+"Hacer la Busqueda para "&amp;TEXT(TODAY()+7,"dd/mm")&amp;" el dia y mostrar los resultados"</f>
        <v>Hacer la Busqueda para 18/11 el dia y mostrar los resultados</v>
      </c>
    </row>
    <row r="227" spans="2:9" x14ac:dyDescent="0.25">
      <c r="B227" t="s">
        <v>282</v>
      </c>
    </row>
    <row r="228" spans="2:9" s="1" customFormat="1" x14ac:dyDescent="0.25">
      <c r="B228" s="1" t="s">
        <v>314</v>
      </c>
    </row>
    <row r="229" spans="2:9" x14ac:dyDescent="0.25">
      <c r="B229" t="s">
        <v>315</v>
      </c>
    </row>
    <row r="230" spans="2:9" x14ac:dyDescent="0.25">
      <c r="B230" t="s">
        <v>316</v>
      </c>
    </row>
    <row r="231" spans="2:9" x14ac:dyDescent="0.25">
      <c r="B231" t="s">
        <v>383</v>
      </c>
    </row>
    <row r="232" spans="2:9" x14ac:dyDescent="0.25">
      <c r="B232" t="s">
        <v>317</v>
      </c>
    </row>
    <row r="233" spans="2:9" x14ac:dyDescent="0.25">
      <c r="B233" t="s">
        <v>318</v>
      </c>
    </row>
    <row r="234" spans="2:9" x14ac:dyDescent="0.25">
      <c r="B234" t="s">
        <v>282</v>
      </c>
    </row>
    <row r="235" spans="2:9" x14ac:dyDescent="0.25">
      <c r="B235" t="str">
        <f ca="1">+"Ir a RESERVAR HABITACION, hacer una busqueda del "&amp;TEXT(TODAY()+30,"dd/mm")&amp;" a "&amp;TEXT(TODAY()+37,"dd/mm")&amp;" (periodo en el cual se sabe que no hay reservas) y mostrar como no aparece la 16"</f>
        <v>Ir a RESERVAR HABITACION, hacer una busqueda del 11/12 a 18/12 (periodo en el cual se sabe que no hay reservas) y mostrar como no aparece la 16</v>
      </c>
    </row>
    <row r="236" spans="2:9" x14ac:dyDescent="0.25">
      <c r="B236" t="s">
        <v>384</v>
      </c>
    </row>
    <row r="237" spans="2:9" s="1" customFormat="1" x14ac:dyDescent="0.25">
      <c r="B237" s="1" t="s">
        <v>319</v>
      </c>
    </row>
    <row r="238" spans="2:9" x14ac:dyDescent="0.25">
      <c r="B238" t="s">
        <v>320</v>
      </c>
      <c r="H238" t="s">
        <v>321</v>
      </c>
      <c r="I238">
        <v>1234</v>
      </c>
    </row>
    <row r="239" spans="2:9" x14ac:dyDescent="0.25">
      <c r="B239" t="s">
        <v>322</v>
      </c>
    </row>
    <row r="240" spans="2:9" x14ac:dyDescent="0.25">
      <c r="B240" t="s">
        <v>323</v>
      </c>
    </row>
    <row r="242" spans="2:2" x14ac:dyDescent="0.25">
      <c r="B242" t="s">
        <v>327</v>
      </c>
    </row>
    <row r="243" spans="2:2" x14ac:dyDescent="0.25">
      <c r="B243" t="s">
        <v>330</v>
      </c>
    </row>
    <row r="244" spans="2:2" x14ac:dyDescent="0.25">
      <c r="B244" t="s">
        <v>328</v>
      </c>
    </row>
    <row r="245" spans="2:2" x14ac:dyDescent="0.25">
      <c r="B245" t="s">
        <v>331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Script</vt:lpstr>
      <vt:lpstr>Pasos Muestra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2025-11-12T01:57:11Z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