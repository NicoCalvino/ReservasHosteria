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E6A6EE83-8FDB-410E-B1E7-711C28DB781F}" xr6:coauthVersionLast="47" xr6:coauthVersionMax="47" xr10:uidLastSave="{00000000-0000-0000-0000-000000000000}"/>
  <bookViews>
    <workbookView xWindow="-120" yWindow="-120" windowWidth="29040" windowHeight="15720" activeTab="1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4" l="1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N4" i="4"/>
  <c r="J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<sst xmlns="http://schemas.openxmlformats.org/spreadsheetml/2006/main" count="372" uniqueCount="168">
  <si>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</si>
  <si>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</si>
  <si>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</si>
  <si>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</si>
  <si>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</si>
  <si>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</si>
  <si>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</si>
  <si>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</si>
  <si>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</si>
  <si>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</si>
  <si>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</si>
  <si>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</si>
  <si>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</si>
  <si>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</si>
  <si>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</si>
  <si>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</si>
  <si>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</si>
  <si>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</si>
  <si>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</si>
  <si>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</si>
  <si>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</si>
  <si>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</si>
  <si>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</si>
  <si>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</si>
  <si>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</si>
  <si>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</si>
  <si>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</si>
  <si>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</si>
  <si>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</si>
  <si>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</si>
  <si>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</si>
  <si>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</si>
  <si>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</si>
  <si>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</si>
  <si>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</si>
  <si>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</si>
  <si>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</si>
  <si>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</si>
  <si>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</si>
  <si>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</si>
  <si>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</si>
  <si>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</si>
  <si>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</si>
  <si>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</si>
  <si>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</si>
  <si>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</si>
  <si>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</si>
  <si>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</si>
  <si>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</si>
  <si>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</si>
  <si>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</si>
  <si>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</si>
  <si>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</si>
  <si>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</si>
  <si>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</si>
  <si>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price DECIMAL(10,2) UNSIGNED NOT NULL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</si>
  <si>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</si>
  <si>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</si>
  <si>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</si>
  <si>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</si>
  <si>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</si>
  <si>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</si>
  <si>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</si>
  <si>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</si>
  <si>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</si>
  <si>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room_id INT UNSIGNED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</si>
  <si>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</si>
  <si>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</si>
  <si>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</si>
  <si>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</si>
  <si>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</si>
  <si>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</si>
  <si>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</si>
  <si>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</si>
  <si>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</si>
  <si>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</si>
  <si>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</si>
  <si>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</si>
  <si>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</si>
  <si>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</si>
  <si>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</si>
  <si>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</si>
  <si>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</si>
  <si>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</si>
  <si>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</si>
  <si>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</si>
  <si>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</si>
  <si>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</si>
  <si>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</si>
  <si>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</si>
  <si>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</si>
  <si>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</si>
  <si>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</si>
  <si>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</si>
  <si>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</si>
  <si>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</si>
  <si>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</si>
  <si>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</si>
  <si>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</si>
  <si>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</si>
  <si>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</si>
  <si>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</si>
  <si>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</si>
  <si>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</si>
  <si>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</si>
  <si>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</si>
  <si>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</si>
  <si>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</si>
  <si>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</si>
  <si>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 1</t>
  </si>
  <si>
    <t>Hab 2</t>
  </si>
  <si>
    <t>Hab 3</t>
  </si>
  <si>
    <t>Hab 4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</si>
  <si>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</si>
  <si>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</si>
  <si>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</si>
  <si>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</si>
  <si>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</si>
  <si>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</si>
  <si>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</si>
  <si>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</si>
  <si>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</si>
  <si>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</si>
  <si>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</si>
  <si>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</si>
  <si>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</si>
  <si>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</si>
  <si>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</si>
  <si>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</si>
  <si>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</si>
  <si>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(DEFAULT,32,5,5)</t>
  </si>
  <si>
    <t>FOREIGN KEY(room_type_id) REFERENCES room_types(id)</t>
  </si>
  <si>
    <t>(DEFAULT,"trpvj","Triple Vista Jardin",3,175000),</t>
  </si>
  <si>
    <t>(DEFAULT,"dblvm","Doble Vista al Mar",2,150000),</t>
  </si>
  <si>
    <t>(DEFAULT,"dblvj","Doble Vista al Jardin",2,150000),</t>
  </si>
  <si>
    <t>(DEFAULT,"hab4","Habitacion para 4 personas",4,125000),</t>
  </si>
  <si>
    <t>short_name VARCHAR(10) NOT NULL,</t>
  </si>
  <si>
    <t>INSERT INTO reservas_hosteria.room_types</t>
  </si>
  <si>
    <t>(DEFAULT,11,1,1),</t>
  </si>
  <si>
    <t>(DEFAULT,12,1,2),</t>
  </si>
  <si>
    <t>(DEFAULT,14,1,2),</t>
  </si>
  <si>
    <t>(DEFAULT,15,1,2),</t>
  </si>
  <si>
    <t>(DEFAULT,16,1,2),</t>
  </si>
  <si>
    <t>(DEFAULT,17,1,3),</t>
  </si>
  <si>
    <t>(DEFAULT,21,2,1),</t>
  </si>
  <si>
    <t>(DEFAULT,22,2,2),</t>
  </si>
  <si>
    <t>(DEFAULT,24,2,2),</t>
  </si>
  <si>
    <t>(DEFAULT,25,2,2),</t>
  </si>
  <si>
    <t>(DEFAULT,26,2,2),</t>
  </si>
  <si>
    <t>(DEFAULT,27,2,3),</t>
  </si>
  <si>
    <t>(DEFAULT,31,4,4),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</si>
  <si>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</si>
  <si>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</si>
  <si>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</si>
  <si>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</si>
  <si>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</si>
  <si>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</si>
  <si>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</si>
  <si>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</si>
  <si>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</si>
  <si>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</si>
  <si>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</si>
  <si>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</si>
  <si>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(DEFAULT,"suite","Dpto 2 hab vista al mar con Cocina e Hidromasaje",4,250000)</t>
  </si>
  <si>
    <t>adults</t>
  </si>
  <si>
    <t>children</t>
  </si>
  <si>
    <t>adults INT UNSIGNED NOT NULL,</t>
  </si>
  <si>
    <t>children INT UNSIGNED NOT NULL,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</si>
</sst>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82"/>
  <sheetViews>
    <sheetView workbookViewId="0">
      <pane ySplit="2" topLeftCell="A18" activePane="bottomLeft" state="frozen"/>
      <selection pane="bottomLeft" activeCell="E36" sqref="E36:E37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126</v>
      </c>
    </row>
    <row r="7" spans="1:11" x14ac:dyDescent="0.25">
      <c r="A7" t="s">
        <v>2</v>
      </c>
      <c r="B7" t="s">
        <v>125</v>
      </c>
      <c r="C7" t="s">
        <v>32</v>
      </c>
      <c r="D7" t="s">
        <v>7</v>
      </c>
    </row>
    <row r="8" spans="1:11" x14ac:dyDescent="0.25">
      <c r="A8" t="s">
        <v>2</v>
      </c>
      <c r="B8" t="s">
        <v>34</v>
      </c>
      <c r="C8" t="s">
        <v>9</v>
      </c>
      <c r="D8" t="s">
        <v>7</v>
      </c>
    </row>
    <row r="9" spans="1:11" x14ac:dyDescent="0.25">
      <c r="A9" t="s">
        <v>2</v>
      </c>
      <c r="B9" t="s">
        <v>39</v>
      </c>
      <c r="C9" t="s">
        <v>4</v>
      </c>
      <c r="D9" t="s">
        <v>5</v>
      </c>
      <c r="E9" t="s">
        <v>7</v>
      </c>
    </row>
    <row r="10" spans="1:11" x14ac:dyDescent="0.25">
      <c r="A10" t="s">
        <v>2</v>
      </c>
      <c r="B10" t="s">
        <v>35</v>
      </c>
      <c r="C10" t="s">
        <v>11</v>
      </c>
      <c r="D10" t="s">
        <v>5</v>
      </c>
      <c r="E10" t="s">
        <v>7</v>
      </c>
    </row>
    <row r="11" spans="1:11" x14ac:dyDescent="0.25">
      <c r="A11" t="s">
        <v>18</v>
      </c>
    </row>
    <row r="12" spans="1:11" x14ac:dyDescent="0.25">
      <c r="A12" t="s">
        <v>0</v>
      </c>
      <c r="B12" t="s">
        <v>36</v>
      </c>
    </row>
    <row r="13" spans="1:11" x14ac:dyDescent="0.25">
      <c r="A13" t="s">
        <v>2</v>
      </c>
      <c r="B13" t="s">
        <v>38</v>
      </c>
      <c r="C13" t="s">
        <v>9</v>
      </c>
      <c r="D13" t="s">
        <v>7</v>
      </c>
    </row>
    <row r="14" spans="1:11" x14ac:dyDescent="0.25">
      <c r="A14" t="s">
        <v>2</v>
      </c>
      <c r="B14" t="s">
        <v>40</v>
      </c>
      <c r="C14" t="s">
        <v>4</v>
      </c>
      <c r="D14" t="s">
        <v>5</v>
      </c>
      <c r="E14" t="s">
        <v>7</v>
      </c>
    </row>
    <row r="15" spans="1:11" x14ac:dyDescent="0.25">
      <c r="A15" t="s">
        <v>2</v>
      </c>
      <c r="B15" t="s">
        <v>127</v>
      </c>
      <c r="C15" t="s">
        <v>4</v>
      </c>
      <c r="D15" t="s">
        <v>5</v>
      </c>
      <c r="E15" t="s">
        <v>7</v>
      </c>
      <c r="G15" t="s">
        <v>126</v>
      </c>
    </row>
    <row r="16" spans="1:11" x14ac:dyDescent="0.25">
      <c r="A16" t="s">
        <v>18</v>
      </c>
    </row>
    <row r="17" spans="1:7" x14ac:dyDescent="0.25">
      <c r="A17" t="s">
        <v>0</v>
      </c>
      <c r="B17" t="s">
        <v>46</v>
      </c>
    </row>
    <row r="18" spans="1:7" x14ac:dyDescent="0.25">
      <c r="A18" t="s">
        <v>2</v>
      </c>
      <c r="B18" t="s">
        <v>37</v>
      </c>
      <c r="C18" t="s">
        <v>9</v>
      </c>
      <c r="D18" t="s">
        <v>7</v>
      </c>
    </row>
    <row r="19" spans="1:7" x14ac:dyDescent="0.25">
      <c r="A19" t="s">
        <v>2</v>
      </c>
      <c r="B19" t="s">
        <v>47</v>
      </c>
      <c r="C19" t="s">
        <v>9</v>
      </c>
      <c r="D19" t="s">
        <v>7</v>
      </c>
    </row>
    <row r="20" spans="1:7" x14ac:dyDescent="0.25">
      <c r="A20" t="s">
        <v>2</v>
      </c>
      <c r="B20" t="s">
        <v>48</v>
      </c>
      <c r="C20" t="s">
        <v>9</v>
      </c>
      <c r="D20" t="s">
        <v>7</v>
      </c>
    </row>
    <row r="21" spans="1:7" x14ac:dyDescent="0.25">
      <c r="A21" t="s">
        <v>2</v>
      </c>
      <c r="B21" t="s">
        <v>152</v>
      </c>
      <c r="C21" t="s">
        <v>9</v>
      </c>
      <c r="D21" t="s">
        <v>7</v>
      </c>
    </row>
    <row r="22" spans="1:7" x14ac:dyDescent="0.25">
      <c r="A22" t="s">
        <v>18</v>
      </c>
    </row>
    <row r="23" spans="1:7" x14ac:dyDescent="0.25">
      <c r="A23" t="s">
        <v>0</v>
      </c>
      <c r="B23" t="s">
        <v>41</v>
      </c>
    </row>
    <row r="24" spans="1:7" x14ac:dyDescent="0.25">
      <c r="A24" t="s">
        <v>2</v>
      </c>
      <c r="B24" t="s">
        <v>42</v>
      </c>
      <c r="C24" t="s">
        <v>10</v>
      </c>
      <c r="D24" t="s">
        <v>7</v>
      </c>
    </row>
    <row r="25" spans="1:7" x14ac:dyDescent="0.25">
      <c r="A25" t="s">
        <v>2</v>
      </c>
      <c r="B25" t="s">
        <v>43</v>
      </c>
      <c r="C25" t="s">
        <v>10</v>
      </c>
      <c r="D25" t="s">
        <v>7</v>
      </c>
    </row>
    <row r="26" spans="1:7" x14ac:dyDescent="0.25">
      <c r="A26" t="s">
        <v>2</v>
      </c>
      <c r="B26" t="s">
        <v>39</v>
      </c>
      <c r="C26" t="s">
        <v>4</v>
      </c>
      <c r="D26" t="s">
        <v>5</v>
      </c>
      <c r="E26" t="s">
        <v>7</v>
      </c>
    </row>
    <row r="27" spans="1:7" x14ac:dyDescent="0.25">
      <c r="A27" t="s">
        <v>2</v>
      </c>
      <c r="B27" t="s">
        <v>45</v>
      </c>
      <c r="C27" t="s">
        <v>4</v>
      </c>
      <c r="D27" t="s">
        <v>5</v>
      </c>
      <c r="E27" t="s">
        <v>7</v>
      </c>
      <c r="G27" t="s">
        <v>46</v>
      </c>
    </row>
    <row r="28" spans="1:7" x14ac:dyDescent="0.25">
      <c r="A28" t="s">
        <v>2</v>
      </c>
      <c r="B28" t="s">
        <v>29</v>
      </c>
      <c r="C28" t="s">
        <v>4</v>
      </c>
      <c r="D28" t="s">
        <v>5</v>
      </c>
      <c r="E28" t="s">
        <v>7</v>
      </c>
      <c r="G28" t="s">
        <v>27</v>
      </c>
    </row>
    <row r="29" spans="1:7" x14ac:dyDescent="0.25">
      <c r="A29" t="s">
        <v>2</v>
      </c>
      <c r="B29" t="s">
        <v>19</v>
      </c>
      <c r="C29" t="s">
        <v>22</v>
      </c>
      <c r="D29" t="s">
        <v>23</v>
      </c>
    </row>
    <row r="30" spans="1:7" x14ac:dyDescent="0.25">
      <c r="A30" t="s">
        <v>2</v>
      </c>
      <c r="B30" t="s">
        <v>20</v>
      </c>
      <c r="C30" t="s">
        <v>22</v>
      </c>
      <c r="D30" t="s">
        <v>23</v>
      </c>
    </row>
    <row r="31" spans="1:7" x14ac:dyDescent="0.25">
      <c r="A31" t="s">
        <v>2</v>
      </c>
      <c r="B31" t="s">
        <v>21</v>
      </c>
      <c r="C31" t="s">
        <v>22</v>
      </c>
      <c r="D31" t="s">
        <v>23</v>
      </c>
    </row>
    <row r="32" spans="1:7" x14ac:dyDescent="0.25">
      <c r="A32" t="s">
        <v>18</v>
      </c>
    </row>
    <row r="33" spans="1:7" x14ac:dyDescent="0.25">
      <c r="A33" t="s">
        <v>0</v>
      </c>
      <c r="B33" t="s">
        <v>79</v>
      </c>
    </row>
    <row r="34" spans="1:7" x14ac:dyDescent="0.25">
      <c r="A34" t="s">
        <v>2</v>
      </c>
      <c r="B34" t="s">
        <v>42</v>
      </c>
      <c r="C34" t="s">
        <v>10</v>
      </c>
      <c r="D34" t="s">
        <v>7</v>
      </c>
    </row>
    <row r="35" spans="1:7" x14ac:dyDescent="0.25">
      <c r="A35" t="s">
        <v>2</v>
      </c>
      <c r="B35" t="s">
        <v>43</v>
      </c>
      <c r="C35" t="s">
        <v>10</v>
      </c>
      <c r="D35" t="s">
        <v>7</v>
      </c>
    </row>
    <row r="36" spans="1:7" x14ac:dyDescent="0.25">
      <c r="A36" t="s">
        <v>2</v>
      </c>
      <c r="B36" t="s">
        <v>164</v>
      </c>
      <c r="C36" t="s">
        <v>4</v>
      </c>
      <c r="D36" t="s">
        <v>5</v>
      </c>
      <c r="E36" t="s">
        <v>7</v>
      </c>
    </row>
    <row r="37" spans="1:7" x14ac:dyDescent="0.25">
      <c r="A37" t="s">
        <v>2</v>
      </c>
      <c r="B37" t="s">
        <v>165</v>
      </c>
      <c r="C37" t="s">
        <v>4</v>
      </c>
      <c r="D37" t="s">
        <v>5</v>
      </c>
      <c r="E37" t="s">
        <v>7</v>
      </c>
    </row>
    <row r="38" spans="1:7" x14ac:dyDescent="0.25">
      <c r="A38" t="s">
        <v>2</v>
      </c>
      <c r="B38" t="s">
        <v>80</v>
      </c>
      <c r="C38" t="s">
        <v>4</v>
      </c>
      <c r="D38" t="s">
        <v>5</v>
      </c>
      <c r="E38" t="s">
        <v>7</v>
      </c>
      <c r="G38" t="s">
        <v>41</v>
      </c>
    </row>
    <row r="39" spans="1:7" x14ac:dyDescent="0.25">
      <c r="A39" t="s">
        <v>2</v>
      </c>
      <c r="B39" t="s">
        <v>44</v>
      </c>
      <c r="C39" t="s">
        <v>4</v>
      </c>
      <c r="D39" t="s">
        <v>5</v>
      </c>
      <c r="E39" t="s">
        <v>7</v>
      </c>
      <c r="G39" t="s">
        <v>36</v>
      </c>
    </row>
    <row r="40" spans="1:7" x14ac:dyDescent="0.25">
      <c r="A40" t="s">
        <v>18</v>
      </c>
    </row>
    <row r="41" spans="1:7" x14ac:dyDescent="0.25">
      <c r="A41" t="s">
        <v>0</v>
      </c>
      <c r="B41" t="s">
        <v>117</v>
      </c>
    </row>
    <row r="42" spans="1:7" x14ac:dyDescent="0.25">
      <c r="A42" t="s">
        <v>2</v>
      </c>
      <c r="B42" t="s">
        <v>42</v>
      </c>
      <c r="C42" t="s">
        <v>10</v>
      </c>
      <c r="D42" t="s">
        <v>7</v>
      </c>
    </row>
    <row r="43" spans="1:7" x14ac:dyDescent="0.25">
      <c r="A43" t="s">
        <v>2</v>
      </c>
      <c r="B43" t="s">
        <v>43</v>
      </c>
      <c r="C43" t="s">
        <v>10</v>
      </c>
      <c r="D43" t="s">
        <v>7</v>
      </c>
    </row>
    <row r="44" spans="1:7" x14ac:dyDescent="0.25">
      <c r="A44" t="s">
        <v>2</v>
      </c>
      <c r="B44" t="s">
        <v>39</v>
      </c>
      <c r="C44" t="s">
        <v>4</v>
      </c>
      <c r="D44" t="s">
        <v>5</v>
      </c>
      <c r="E44" t="s">
        <v>7</v>
      </c>
    </row>
    <row r="45" spans="1:7" x14ac:dyDescent="0.25">
      <c r="A45" t="s">
        <v>2</v>
      </c>
      <c r="B45" t="s">
        <v>36</v>
      </c>
      <c r="C45" t="s">
        <v>4</v>
      </c>
      <c r="D45" t="s">
        <v>5</v>
      </c>
      <c r="E45" t="s">
        <v>7</v>
      </c>
    </row>
    <row r="46" spans="1:7" x14ac:dyDescent="0.25">
      <c r="A46" t="s">
        <v>2</v>
      </c>
      <c r="B46" t="s">
        <v>19</v>
      </c>
      <c r="C46" t="s">
        <v>22</v>
      </c>
      <c r="D46" t="s">
        <v>23</v>
      </c>
    </row>
    <row r="47" spans="1:7" x14ac:dyDescent="0.25">
      <c r="A47" t="s">
        <v>2</v>
      </c>
      <c r="B47" t="s">
        <v>20</v>
      </c>
      <c r="C47" t="s">
        <v>22</v>
      </c>
      <c r="D47" t="s">
        <v>23</v>
      </c>
    </row>
    <row r="48" spans="1:7" x14ac:dyDescent="0.25">
      <c r="A48" t="s">
        <v>2</v>
      </c>
      <c r="B48" t="s">
        <v>21</v>
      </c>
      <c r="C48" t="s">
        <v>22</v>
      </c>
      <c r="D48" t="s">
        <v>23</v>
      </c>
    </row>
    <row r="49" spans="1:7" x14ac:dyDescent="0.25">
      <c r="A49" t="s">
        <v>18</v>
      </c>
    </row>
    <row r="50" spans="1:7" x14ac:dyDescent="0.25">
      <c r="A50" t="s">
        <v>0</v>
      </c>
      <c r="B50" t="s">
        <v>158</v>
      </c>
    </row>
    <row r="51" spans="1:7" x14ac:dyDescent="0.25">
      <c r="A51" t="s">
        <v>2</v>
      </c>
      <c r="B51" t="s">
        <v>156</v>
      </c>
      <c r="C51" t="s">
        <v>4</v>
      </c>
      <c r="D51" t="s">
        <v>5</v>
      </c>
      <c r="E51" t="s">
        <v>7</v>
      </c>
    </row>
    <row r="52" spans="1:7" x14ac:dyDescent="0.25">
      <c r="A52" t="s">
        <v>2</v>
      </c>
      <c r="B52" t="s">
        <v>127</v>
      </c>
      <c r="C52" t="s">
        <v>4</v>
      </c>
      <c r="D52" t="s">
        <v>5</v>
      </c>
      <c r="E52" t="s">
        <v>7</v>
      </c>
      <c r="G52" t="s">
        <v>126</v>
      </c>
    </row>
    <row r="53" spans="1:7" x14ac:dyDescent="0.25">
      <c r="A53" t="s">
        <v>2</v>
      </c>
      <c r="B53" t="s">
        <v>157</v>
      </c>
      <c r="C53" t="s">
        <v>4</v>
      </c>
      <c r="D53" t="s">
        <v>5</v>
      </c>
      <c r="E53" t="s">
        <v>7</v>
      </c>
    </row>
    <row r="54" spans="1:7" x14ac:dyDescent="0.25">
      <c r="A54" t="s">
        <v>18</v>
      </c>
    </row>
    <row r="55" spans="1:7" x14ac:dyDescent="0.25">
      <c r="A55" t="s">
        <v>24</v>
      </c>
      <c r="B55" t="s">
        <v>27</v>
      </c>
    </row>
    <row r="56" spans="1:7" x14ac:dyDescent="0.25">
      <c r="A56" t="s">
        <v>25</v>
      </c>
      <c r="B56" t="s">
        <v>49</v>
      </c>
    </row>
    <row r="57" spans="1:7" x14ac:dyDescent="0.25">
      <c r="A57" t="s">
        <v>25</v>
      </c>
      <c r="B57" t="s">
        <v>50</v>
      </c>
    </row>
    <row r="58" spans="1:7" x14ac:dyDescent="0.25">
      <c r="A58" t="s">
        <v>25</v>
      </c>
      <c r="B58" t="s">
        <v>51</v>
      </c>
    </row>
    <row r="59" spans="1:7" x14ac:dyDescent="0.25">
      <c r="A59" t="s">
        <v>26</v>
      </c>
    </row>
    <row r="60" spans="1:7" x14ac:dyDescent="0.25">
      <c r="A60" t="s">
        <v>24</v>
      </c>
      <c r="B60" t="s">
        <v>126</v>
      </c>
    </row>
    <row r="61" spans="1:7" x14ac:dyDescent="0.25">
      <c r="A61" t="s">
        <v>25</v>
      </c>
      <c r="B61" t="s">
        <v>120</v>
      </c>
      <c r="C61" t="s">
        <v>52</v>
      </c>
      <c r="D61">
        <v>3</v>
      </c>
      <c r="E61">
        <v>175000</v>
      </c>
    </row>
    <row r="62" spans="1:7" x14ac:dyDescent="0.25">
      <c r="A62" t="s">
        <v>25</v>
      </c>
      <c r="B62" t="s">
        <v>121</v>
      </c>
      <c r="C62" t="s">
        <v>53</v>
      </c>
      <c r="D62">
        <v>2</v>
      </c>
      <c r="E62">
        <v>150000</v>
      </c>
    </row>
    <row r="63" spans="1:7" x14ac:dyDescent="0.25">
      <c r="A63" t="s">
        <v>25</v>
      </c>
      <c r="B63" t="s">
        <v>122</v>
      </c>
      <c r="C63" t="s">
        <v>54</v>
      </c>
      <c r="D63">
        <v>2</v>
      </c>
      <c r="E63">
        <v>150000</v>
      </c>
    </row>
    <row r="64" spans="1:7" x14ac:dyDescent="0.25">
      <c r="A64" t="s">
        <v>25</v>
      </c>
      <c r="B64" t="s">
        <v>123</v>
      </c>
      <c r="C64" t="s">
        <v>113</v>
      </c>
      <c r="D64">
        <v>4</v>
      </c>
      <c r="E64">
        <v>125000</v>
      </c>
    </row>
    <row r="65" spans="1:5" x14ac:dyDescent="0.25">
      <c r="A65" t="s">
        <v>25</v>
      </c>
      <c r="B65" t="s">
        <v>124</v>
      </c>
      <c r="C65" t="s">
        <v>155</v>
      </c>
      <c r="D65">
        <v>4</v>
      </c>
      <c r="E65">
        <v>250000</v>
      </c>
    </row>
    <row r="66" spans="1:5" x14ac:dyDescent="0.25">
      <c r="A66" t="s">
        <v>26</v>
      </c>
    </row>
    <row r="67" spans="1:5" x14ac:dyDescent="0.25">
      <c r="A67" t="s">
        <v>24</v>
      </c>
      <c r="B67" t="s">
        <v>36</v>
      </c>
    </row>
    <row r="68" spans="1:5" x14ac:dyDescent="0.25">
      <c r="A68" t="s">
        <v>25</v>
      </c>
      <c r="B68">
        <v>11</v>
      </c>
      <c r="C68">
        <v>1</v>
      </c>
      <c r="D68">
        <v>1</v>
      </c>
    </row>
    <row r="69" spans="1:5" x14ac:dyDescent="0.25">
      <c r="A69" t="s">
        <v>25</v>
      </c>
      <c r="B69">
        <v>12</v>
      </c>
      <c r="C69">
        <v>1</v>
      </c>
      <c r="D69">
        <v>2</v>
      </c>
    </row>
    <row r="70" spans="1:5" x14ac:dyDescent="0.25">
      <c r="A70" t="s">
        <v>25</v>
      </c>
      <c r="B70">
        <v>14</v>
      </c>
      <c r="C70">
        <v>1</v>
      </c>
      <c r="D70">
        <v>2</v>
      </c>
    </row>
    <row r="71" spans="1:5" x14ac:dyDescent="0.25">
      <c r="A71" t="s">
        <v>25</v>
      </c>
      <c r="B71">
        <v>15</v>
      </c>
      <c r="C71">
        <v>1</v>
      </c>
      <c r="D71">
        <v>2</v>
      </c>
    </row>
    <row r="72" spans="1:5" x14ac:dyDescent="0.25">
      <c r="A72" t="s">
        <v>25</v>
      </c>
      <c r="B72">
        <v>16</v>
      </c>
      <c r="C72">
        <v>1</v>
      </c>
      <c r="D72">
        <v>2</v>
      </c>
    </row>
    <row r="73" spans="1:5" x14ac:dyDescent="0.25">
      <c r="A73" t="s">
        <v>25</v>
      </c>
      <c r="B73">
        <v>17</v>
      </c>
      <c r="C73">
        <v>1</v>
      </c>
      <c r="D73">
        <v>3</v>
      </c>
    </row>
    <row r="74" spans="1:5" x14ac:dyDescent="0.25">
      <c r="A74" t="s">
        <v>25</v>
      </c>
      <c r="B74">
        <v>21</v>
      </c>
      <c r="C74">
        <v>2</v>
      </c>
      <c r="D74">
        <v>1</v>
      </c>
    </row>
    <row r="75" spans="1:5" x14ac:dyDescent="0.25">
      <c r="A75" t="s">
        <v>25</v>
      </c>
      <c r="B75">
        <v>22</v>
      </c>
      <c r="C75">
        <v>2</v>
      </c>
      <c r="D75">
        <v>2</v>
      </c>
    </row>
    <row r="76" spans="1:5" x14ac:dyDescent="0.25">
      <c r="A76" t="s">
        <v>25</v>
      </c>
      <c r="B76">
        <v>24</v>
      </c>
      <c r="C76">
        <v>2</v>
      </c>
      <c r="D76">
        <v>2</v>
      </c>
    </row>
    <row r="77" spans="1:5" x14ac:dyDescent="0.25">
      <c r="A77" t="s">
        <v>25</v>
      </c>
      <c r="B77">
        <v>25</v>
      </c>
      <c r="C77">
        <v>2</v>
      </c>
      <c r="D77">
        <v>2</v>
      </c>
    </row>
    <row r="78" spans="1:5" x14ac:dyDescent="0.25">
      <c r="A78" t="s">
        <v>25</v>
      </c>
      <c r="B78">
        <v>26</v>
      </c>
      <c r="C78">
        <v>2</v>
      </c>
      <c r="D78">
        <v>2</v>
      </c>
    </row>
    <row r="79" spans="1:5" x14ac:dyDescent="0.25">
      <c r="A79" t="s">
        <v>25</v>
      </c>
      <c r="B79">
        <v>27</v>
      </c>
      <c r="C79">
        <v>2</v>
      </c>
      <c r="D79">
        <v>3</v>
      </c>
    </row>
    <row r="80" spans="1:5" x14ac:dyDescent="0.25">
      <c r="A80" t="s">
        <v>25</v>
      </c>
      <c r="B80">
        <v>31</v>
      </c>
      <c r="C80">
        <v>4</v>
      </c>
      <c r="D80">
        <v>4</v>
      </c>
    </row>
    <row r="81" spans="1:4" x14ac:dyDescent="0.25">
      <c r="A81" t="s">
        <v>25</v>
      </c>
      <c r="B81">
        <v>32</v>
      </c>
      <c r="C81">
        <v>5</v>
      </c>
      <c r="D81">
        <v>5</v>
      </c>
    </row>
    <row r="82" spans="1:4" x14ac:dyDescent="0.25">
      <c r="A82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98"/>
  <sheetViews>
    <sheetView tabSelected="1" topLeftCell="A64" workbookViewId="0">
      <selection sqref="A1:A98"/>
    </sheetView>
  </sheetViews>
  <sheetFormatPr defaultRowHeight="15" x14ac:dyDescent="0.25"/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12</v>
      </c>
    </row>
    <row r="4" spans="1:1" x14ac:dyDescent="0.25">
      <c r="A4" t="s">
        <v>56</v>
      </c>
    </row>
    <row r="5" spans="1:1" x14ac:dyDescent="0.25">
      <c r="A5" t="s">
        <v>13</v>
      </c>
    </row>
    <row r="6" spans="1:1" x14ac:dyDescent="0.25">
      <c r="A6" t="s">
        <v>128</v>
      </c>
    </row>
    <row r="7" spans="1:1" x14ac:dyDescent="0.25">
      <c r="A7" t="s">
        <v>12</v>
      </c>
    </row>
    <row r="8" spans="1:1" x14ac:dyDescent="0.25">
      <c r="A8" t="s">
        <v>136</v>
      </c>
    </row>
    <row r="9" spans="1:1" x14ac:dyDescent="0.25">
      <c r="A9" t="s">
        <v>59</v>
      </c>
    </row>
    <row r="10" spans="1:1" x14ac:dyDescent="0.25">
      <c r="A10" t="s">
        <v>60</v>
      </c>
    </row>
    <row r="11" spans="1:1" x14ac:dyDescent="0.25">
      <c r="A11" t="s">
        <v>55</v>
      </c>
    </row>
    <row r="12" spans="1:1" x14ac:dyDescent="0.25">
      <c r="A12" t="s">
        <v>13</v>
      </c>
    </row>
    <row r="13" spans="1:1" x14ac:dyDescent="0.25">
      <c r="A13" t="s">
        <v>74</v>
      </c>
    </row>
    <row r="14" spans="1:1" x14ac:dyDescent="0.25">
      <c r="A14" t="s">
        <v>12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129</v>
      </c>
    </row>
    <row r="18" spans="1:1" x14ac:dyDescent="0.25">
      <c r="A18" t="s">
        <v>131</v>
      </c>
    </row>
    <row r="19" spans="1:1" x14ac:dyDescent="0.25">
      <c r="A19" t="s">
        <v>13</v>
      </c>
    </row>
    <row r="20" spans="1:1" x14ac:dyDescent="0.25">
      <c r="A20" t="s">
        <v>75</v>
      </c>
    </row>
    <row r="21" spans="1:1" x14ac:dyDescent="0.25">
      <c r="A21" t="s">
        <v>12</v>
      </c>
    </row>
    <row r="22" spans="1:1" x14ac:dyDescent="0.25">
      <c r="A22" t="s">
        <v>61</v>
      </c>
    </row>
    <row r="23" spans="1:1" x14ac:dyDescent="0.25">
      <c r="A23" t="s">
        <v>62</v>
      </c>
    </row>
    <row r="24" spans="1:1" x14ac:dyDescent="0.25">
      <c r="A24" t="s">
        <v>153</v>
      </c>
    </row>
    <row r="25" spans="1:1" x14ac:dyDescent="0.25">
      <c r="A25" t="s">
        <v>154</v>
      </c>
    </row>
    <row r="26" spans="1:1" x14ac:dyDescent="0.25">
      <c r="A26" t="s">
        <v>13</v>
      </c>
    </row>
    <row r="27" spans="1:1" x14ac:dyDescent="0.25">
      <c r="A27" t="s">
        <v>76</v>
      </c>
    </row>
    <row r="28" spans="1:1" x14ac:dyDescent="0.25">
      <c r="A28" t="s">
        <v>12</v>
      </c>
    </row>
    <row r="29" spans="1:1" x14ac:dyDescent="0.25">
      <c r="A29" t="s">
        <v>63</v>
      </c>
    </row>
    <row r="30" spans="1:1" x14ac:dyDescent="0.25">
      <c r="A30" t="s">
        <v>64</v>
      </c>
    </row>
    <row r="31" spans="1:1" x14ac:dyDescent="0.25">
      <c r="A31" t="s">
        <v>60</v>
      </c>
    </row>
    <row r="32" spans="1:1" x14ac:dyDescent="0.25">
      <c r="A32" t="s">
        <v>66</v>
      </c>
    </row>
    <row r="33" spans="1:1" x14ac:dyDescent="0.25">
      <c r="A33" t="s">
        <v>67</v>
      </c>
    </row>
    <row r="34" spans="1:1" x14ac:dyDescent="0.25">
      <c r="A34" t="s">
        <v>30</v>
      </c>
    </row>
    <row r="35" spans="1:1" x14ac:dyDescent="0.25">
      <c r="A35" t="s">
        <v>31</v>
      </c>
    </row>
    <row r="36" spans="1:1" x14ac:dyDescent="0.25">
      <c r="A36" t="s">
        <v>14</v>
      </c>
    </row>
    <row r="37" spans="1:1" x14ac:dyDescent="0.25">
      <c r="A37" t="s">
        <v>15</v>
      </c>
    </row>
    <row r="38" spans="1:1" x14ac:dyDescent="0.25">
      <c r="A38" t="s">
        <v>68</v>
      </c>
    </row>
    <row r="39" spans="1:1" x14ac:dyDescent="0.25">
      <c r="A39" t="s">
        <v>13</v>
      </c>
    </row>
    <row r="40" spans="1:1" x14ac:dyDescent="0.25">
      <c r="A40" t="s">
        <v>114</v>
      </c>
    </row>
    <row r="41" spans="1:1" x14ac:dyDescent="0.25">
      <c r="A41" t="s">
        <v>12</v>
      </c>
    </row>
    <row r="42" spans="1:1" x14ac:dyDescent="0.25">
      <c r="A42" t="s">
        <v>63</v>
      </c>
    </row>
    <row r="43" spans="1:1" x14ac:dyDescent="0.25">
      <c r="A43" t="s">
        <v>64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115</v>
      </c>
    </row>
    <row r="47" spans="1:1" x14ac:dyDescent="0.25">
      <c r="A47" t="s">
        <v>116</v>
      </c>
    </row>
    <row r="48" spans="1:1" x14ac:dyDescent="0.25">
      <c r="A48" t="s">
        <v>65</v>
      </c>
    </row>
    <row r="49" spans="1:1" x14ac:dyDescent="0.25">
      <c r="A49" t="s">
        <v>151</v>
      </c>
    </row>
    <row r="50" spans="1:1" x14ac:dyDescent="0.25">
      <c r="A50" t="s">
        <v>13</v>
      </c>
    </row>
    <row r="51" spans="1:1" x14ac:dyDescent="0.25">
      <c r="A51" t="s">
        <v>118</v>
      </c>
    </row>
    <row r="52" spans="1:1" x14ac:dyDescent="0.25">
      <c r="A52" t="s">
        <v>12</v>
      </c>
    </row>
    <row r="53" spans="1:1" x14ac:dyDescent="0.25">
      <c r="A53" t="s">
        <v>63</v>
      </c>
    </row>
    <row r="54" spans="1:1" x14ac:dyDescent="0.25">
      <c r="A54" t="s">
        <v>64</v>
      </c>
    </row>
    <row r="55" spans="1:1" x14ac:dyDescent="0.25">
      <c r="A55" t="s">
        <v>60</v>
      </c>
    </row>
    <row r="56" spans="1:1" x14ac:dyDescent="0.25">
      <c r="A56" t="s">
        <v>119</v>
      </c>
    </row>
    <row r="57" spans="1:1" x14ac:dyDescent="0.25">
      <c r="A57" t="s">
        <v>14</v>
      </c>
    </row>
    <row r="58" spans="1:1" x14ac:dyDescent="0.25">
      <c r="A58" t="s">
        <v>15</v>
      </c>
    </row>
    <row r="59" spans="1:1" x14ac:dyDescent="0.25">
      <c r="A59" t="s">
        <v>68</v>
      </c>
    </row>
    <row r="60" spans="1:1" x14ac:dyDescent="0.25">
      <c r="A60" t="s">
        <v>13</v>
      </c>
    </row>
    <row r="61" spans="1:1" x14ac:dyDescent="0.25">
      <c r="A61" t="s">
        <v>160</v>
      </c>
    </row>
    <row r="62" spans="1:1" x14ac:dyDescent="0.25">
      <c r="A62" t="s">
        <v>12</v>
      </c>
    </row>
    <row r="63" spans="1:1" x14ac:dyDescent="0.25">
      <c r="A63" t="s">
        <v>161</v>
      </c>
    </row>
    <row r="64" spans="1:1" x14ac:dyDescent="0.25">
      <c r="A64" t="s">
        <v>129</v>
      </c>
    </row>
    <row r="65" spans="1:1" x14ac:dyDescent="0.25">
      <c r="A65" t="s">
        <v>159</v>
      </c>
    </row>
    <row r="66" spans="1:1" x14ac:dyDescent="0.25">
      <c r="A66" t="s">
        <v>162</v>
      </c>
    </row>
    <row r="67" spans="1:1" x14ac:dyDescent="0.25">
      <c r="A67" t="s">
        <v>13</v>
      </c>
    </row>
    <row r="68" spans="1:1" x14ac:dyDescent="0.25">
      <c r="A68" t="s">
        <v>77</v>
      </c>
    </row>
    <row r="69" spans="1:1" x14ac:dyDescent="0.25">
      <c r="A69" t="s">
        <v>16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17</v>
      </c>
    </row>
    <row r="74" spans="1:1" x14ac:dyDescent="0.25">
      <c r="A74" t="s">
        <v>137</v>
      </c>
    </row>
    <row r="75" spans="1:1" x14ac:dyDescent="0.25">
      <c r="A75" t="s">
        <v>16</v>
      </c>
    </row>
    <row r="76" spans="1:1" x14ac:dyDescent="0.25">
      <c r="A76" t="s">
        <v>132</v>
      </c>
    </row>
    <row r="77" spans="1:1" x14ac:dyDescent="0.25">
      <c r="A77" t="s">
        <v>133</v>
      </c>
    </row>
    <row r="78" spans="1:1" x14ac:dyDescent="0.25">
      <c r="A78" t="s">
        <v>134</v>
      </c>
    </row>
    <row r="79" spans="1:1" x14ac:dyDescent="0.25">
      <c r="A79" t="s">
        <v>135</v>
      </c>
    </row>
    <row r="80" spans="1:1" x14ac:dyDescent="0.25">
      <c r="A80" t="s">
        <v>163</v>
      </c>
    </row>
    <row r="81" spans="1:1" x14ac:dyDescent="0.25">
      <c r="A81" t="s">
        <v>17</v>
      </c>
    </row>
    <row r="82" spans="1:1" x14ac:dyDescent="0.25">
      <c r="A82" t="s">
        <v>78</v>
      </c>
    </row>
    <row r="83" spans="1:1" x14ac:dyDescent="0.25">
      <c r="A83" t="s">
        <v>16</v>
      </c>
    </row>
    <row r="84" spans="1:1" x14ac:dyDescent="0.25">
      <c r="A84" t="s">
        <v>138</v>
      </c>
    </row>
    <row r="85" spans="1:1" x14ac:dyDescent="0.25">
      <c r="A85" t="s">
        <v>139</v>
      </c>
    </row>
    <row r="86" spans="1:1" x14ac:dyDescent="0.25">
      <c r="A86" t="s">
        <v>140</v>
      </c>
    </row>
    <row r="87" spans="1:1" x14ac:dyDescent="0.25">
      <c r="A87" t="s">
        <v>141</v>
      </c>
    </row>
    <row r="88" spans="1:1" x14ac:dyDescent="0.25">
      <c r="A88" t="s">
        <v>142</v>
      </c>
    </row>
    <row r="89" spans="1:1" x14ac:dyDescent="0.25">
      <c r="A89" t="s">
        <v>143</v>
      </c>
    </row>
    <row r="90" spans="1:1" x14ac:dyDescent="0.25">
      <c r="A90" t="s">
        <v>144</v>
      </c>
    </row>
    <row r="91" spans="1:1" x14ac:dyDescent="0.25">
      <c r="A91" t="s">
        <v>145</v>
      </c>
    </row>
    <row r="92" spans="1:1" x14ac:dyDescent="0.25">
      <c r="A92" t="s">
        <v>146</v>
      </c>
    </row>
    <row r="93" spans="1:1" x14ac:dyDescent="0.25">
      <c r="A93" t="s">
        <v>147</v>
      </c>
    </row>
    <row r="94" spans="1:1" x14ac:dyDescent="0.25">
      <c r="A94" t="s">
        <v>148</v>
      </c>
    </row>
    <row r="95" spans="1:1" x14ac:dyDescent="0.25">
      <c r="A95" t="s">
        <v>149</v>
      </c>
    </row>
    <row r="96" spans="1:1" x14ac:dyDescent="0.25">
      <c r="A96" t="s">
        <v>150</v>
      </c>
    </row>
    <row r="97" spans="1:1" x14ac:dyDescent="0.25">
      <c r="A97" t="s">
        <v>130</v>
      </c>
    </row>
    <row r="98" spans="1:1" x14ac:dyDescent="0.25">
      <c r="A98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81</v>
      </c>
      <c r="C1" s="1" t="s">
        <v>82</v>
      </c>
    </row>
    <row r="2" spans="1:7" x14ac:dyDescent="0.25">
      <c r="A2" s="1">
        <v>1</v>
      </c>
      <c r="B2" s="1">
        <f>+COUNTIF(A:A,A2)</f>
        <v>1</v>
      </c>
      <c r="C2" s="1" t="s">
        <v>83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84</v>
      </c>
      <c r="D3" s="1">
        <v>2</v>
      </c>
    </row>
    <row r="4" spans="1:7" x14ac:dyDescent="0.25">
      <c r="A4" s="1">
        <v>2</v>
      </c>
      <c r="C4" s="1" t="s">
        <v>85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86</v>
      </c>
      <c r="D5" s="1">
        <v>3</v>
      </c>
    </row>
    <row r="6" spans="1:7" x14ac:dyDescent="0.25">
      <c r="A6" s="1">
        <v>3</v>
      </c>
      <c r="C6" s="1" t="s">
        <v>87</v>
      </c>
      <c r="D6" s="1">
        <v>2</v>
      </c>
      <c r="E6" s="1">
        <v>1</v>
      </c>
    </row>
    <row r="7" spans="1:7" x14ac:dyDescent="0.25">
      <c r="A7" s="1">
        <v>3</v>
      </c>
      <c r="C7" s="1" t="s">
        <v>88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89</v>
      </c>
      <c r="D8" s="1">
        <v>4</v>
      </c>
    </row>
    <row r="9" spans="1:7" x14ac:dyDescent="0.25">
      <c r="A9" s="1">
        <v>4</v>
      </c>
      <c r="C9" s="1" t="s">
        <v>90</v>
      </c>
      <c r="D9" s="1">
        <v>2</v>
      </c>
      <c r="E9" s="1">
        <v>2</v>
      </c>
    </row>
    <row r="10" spans="1:7" x14ac:dyDescent="0.25">
      <c r="A10" s="1">
        <v>4</v>
      </c>
      <c r="C10" s="1" t="s">
        <v>91</v>
      </c>
      <c r="D10" s="1">
        <v>1</v>
      </c>
      <c r="E10" s="1">
        <v>3</v>
      </c>
    </row>
    <row r="11" spans="1:7" x14ac:dyDescent="0.25">
      <c r="A11" s="1">
        <v>4</v>
      </c>
      <c r="C11" s="1" t="s">
        <v>93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92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94</v>
      </c>
      <c r="D13" s="1">
        <v>4</v>
      </c>
      <c r="E13" s="1">
        <v>1</v>
      </c>
    </row>
    <row r="14" spans="1:7" x14ac:dyDescent="0.25">
      <c r="A14" s="1">
        <v>5</v>
      </c>
      <c r="C14" s="1" t="s">
        <v>95</v>
      </c>
      <c r="D14" s="1">
        <v>2</v>
      </c>
      <c r="E14" s="1">
        <v>3</v>
      </c>
    </row>
    <row r="15" spans="1:7" x14ac:dyDescent="0.25">
      <c r="A15" s="1">
        <v>5</v>
      </c>
      <c r="C15" s="1" t="s">
        <v>96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98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97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99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100</v>
      </c>
      <c r="D19" s="1">
        <v>4</v>
      </c>
      <c r="E19" s="1">
        <v>2</v>
      </c>
    </row>
    <row r="20" spans="1:10" x14ac:dyDescent="0.25">
      <c r="A20" s="1">
        <v>6</v>
      </c>
      <c r="C20" s="1" t="s">
        <v>101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102</v>
      </c>
      <c r="D21" s="1">
        <v>3</v>
      </c>
      <c r="E21" s="1">
        <v>3</v>
      </c>
    </row>
    <row r="22" spans="1:10" x14ac:dyDescent="0.25">
      <c r="A22" s="1">
        <v>6</v>
      </c>
      <c r="C22" s="1" t="s">
        <v>103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106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105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107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108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104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dimension ref="B2:P34"/>
  <sheetViews>
    <sheetView topLeftCell="E1" workbookViewId="0">
      <selection activeCell="P10" sqref="M10:P10"/>
    </sheetView>
  </sheetViews>
  <sheetFormatPr defaultRowHeight="15" x14ac:dyDescent="0.25"/>
  <sheetData>
    <row r="2" spans="2:16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J2">
        <f>6/4</f>
        <v>1.5</v>
      </c>
    </row>
    <row r="3" spans="2:16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</row>
    <row r="4" spans="2:16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M4">
        <v>9</v>
      </c>
      <c r="N4">
        <f>+M4/4</f>
        <v>2.25</v>
      </c>
    </row>
    <row r="5" spans="2:16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M5" t="s">
        <v>109</v>
      </c>
      <c r="N5" t="s">
        <v>110</v>
      </c>
      <c r="O5" t="s">
        <v>111</v>
      </c>
      <c r="P5" t="s">
        <v>112</v>
      </c>
    </row>
    <row r="6" spans="2:16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>
        <f>+SUM(M6:U6)</f>
        <v>9</v>
      </c>
      <c r="M6">
        <v>4</v>
      </c>
      <c r="N6">
        <v>2</v>
      </c>
      <c r="O6">
        <v>2</v>
      </c>
      <c r="P6">
        <v>1</v>
      </c>
    </row>
    <row r="7" spans="2:16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>
        <f>+SUM(M7:U7)</f>
        <v>9</v>
      </c>
      <c r="M7">
        <v>4</v>
      </c>
      <c r="N7">
        <v>3</v>
      </c>
      <c r="O7">
        <v>1</v>
      </c>
      <c r="P7">
        <v>1</v>
      </c>
    </row>
    <row r="8" spans="2:16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>
        <f t="shared" ref="L8:L26" si="4">+SUM(M8:U8)</f>
        <v>9</v>
      </c>
      <c r="M8">
        <v>3</v>
      </c>
      <c r="N8">
        <v>2</v>
      </c>
      <c r="O8">
        <v>2</v>
      </c>
      <c r="P8">
        <v>2</v>
      </c>
    </row>
    <row r="9" spans="2:16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  <c r="L9">
        <f t="shared" si="4"/>
        <v>9</v>
      </c>
      <c r="M9">
        <v>3</v>
      </c>
      <c r="N9">
        <v>3</v>
      </c>
      <c r="O9">
        <v>2</v>
      </c>
      <c r="P9">
        <v>1</v>
      </c>
    </row>
    <row r="10" spans="2:16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  <c r="L10">
        <f t="shared" si="4"/>
        <v>0</v>
      </c>
    </row>
    <row r="11" spans="2:16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  <c r="L11">
        <f t="shared" si="4"/>
        <v>0</v>
      </c>
    </row>
    <row r="12" spans="2:16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  <c r="L12">
        <f t="shared" si="4"/>
        <v>0</v>
      </c>
    </row>
    <row r="13" spans="2:16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  <c r="L13">
        <f t="shared" si="4"/>
        <v>0</v>
      </c>
    </row>
    <row r="14" spans="2:16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  <c r="L14">
        <f t="shared" si="4"/>
        <v>0</v>
      </c>
    </row>
    <row r="15" spans="2:16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  <c r="L15">
        <f t="shared" si="4"/>
        <v>0</v>
      </c>
    </row>
    <row r="16" spans="2:16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  <c r="L16">
        <f t="shared" si="4"/>
        <v>0</v>
      </c>
    </row>
    <row r="17" spans="2:12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  <c r="L17">
        <f t="shared" si="4"/>
        <v>0</v>
      </c>
    </row>
    <row r="18" spans="2:12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  <c r="L18">
        <f t="shared" si="4"/>
        <v>0</v>
      </c>
    </row>
    <row r="19" spans="2:12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  <c r="L19">
        <f t="shared" si="4"/>
        <v>0</v>
      </c>
    </row>
    <row r="20" spans="2:12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  <c r="L20">
        <f t="shared" si="4"/>
        <v>0</v>
      </c>
    </row>
    <row r="21" spans="2:12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  <c r="L21">
        <f t="shared" si="4"/>
        <v>0</v>
      </c>
    </row>
    <row r="22" spans="2:12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  <c r="L22">
        <f t="shared" si="4"/>
        <v>0</v>
      </c>
    </row>
    <row r="23" spans="2:12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  <c r="L23">
        <f t="shared" si="4"/>
        <v>0</v>
      </c>
    </row>
    <row r="24" spans="2:12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  <c r="L24">
        <f t="shared" si="4"/>
        <v>0</v>
      </c>
    </row>
    <row r="25" spans="2:12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  <c r="L25">
        <f t="shared" si="4"/>
        <v>0</v>
      </c>
    </row>
    <row r="26" spans="2:12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  <c r="L26">
        <f t="shared" si="4"/>
        <v>0</v>
      </c>
    </row>
    <row r="27" spans="2:12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12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12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12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12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12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2025-10-06T03:40:44Z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